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ATRIZ" sheetId="2" r:id="rId6"/>
    <sheet state="visible" name="INGRESOS" sheetId="3" r:id="rId7"/>
    <sheet state="visible" name="SALARIOS" sheetId="4" r:id="rId8"/>
    <sheet state="visible" name="GASTOS" sheetId="5" r:id="rId9"/>
    <sheet state="visible" name="Matriz antes" sheetId="6" r:id="rId10"/>
    <sheet state="visible" name="Lista de gastos" sheetId="7" r:id="rId11"/>
    <sheet state="visible" name="TRABAJADORES" sheetId="8" r:id="rId12"/>
    <sheet state="visible" name="LISTA SALARIOS" sheetId="9" r:id="rId13"/>
    <sheet state="visible" name="SALARIOS TORO" sheetId="10" r:id="rId14"/>
    <sheet state="visible" name="SOCIOS" sheetId="11" r:id="rId15"/>
    <sheet state="visible" name="SALARIOS INFLABLES" sheetId="12" r:id="rId16"/>
    <sheet state="visible" name="SALARIOS SONIDO" sheetId="13" r:id="rId17"/>
    <sheet state="visible" name="LISTAS PRECIOS" sheetId="14" r:id="rId18"/>
    <sheet state="visible" name="SALARIOS PISTA" sheetId="15" r:id="rId19"/>
    <sheet state="visible" name="SALARIOS BOTARGA" sheetId="16" r:id="rId20"/>
    <sheet state="visible" name="BONOS Y COMISIONES" sheetId="17" r:id="rId21"/>
    <sheet state="visible" name="SERVICIOS" sheetId="18" r:id="rId22"/>
    <sheet state="visible" name="TARIFAS TORO" sheetId="19" r:id="rId23"/>
    <sheet state="visible" name="TARIFAS INFLABLES" sheetId="20" r:id="rId24"/>
    <sheet state="visible" name="TARIFAS SONIDO" sheetId="21" r:id="rId25"/>
    <sheet state="visible" name="TARIFAS PISTA" sheetId="22" r:id="rId26"/>
    <sheet state="visible" name="TARIFAS BOTARGA" sheetId="23" r:id="rId27"/>
  </sheets>
  <definedNames>
    <definedName name="concepto_salarios">'LISTA SALARIOS'!$A$2:$A$149</definedName>
    <definedName name="LISTA_PRECIOS">'LISTAS PRECIOS'!$B$2:$B$35</definedName>
    <definedName name="LISTA_SERVICIOS">'LISTAS PRECIOS'!$A$2:$A$35</definedName>
    <definedName name="Inflables">'TARIFAS INFLABLES'!$A$2:$A$11</definedName>
    <definedName name="Horas_toro">'TARIFAS TORO'!$A$2:$A$7</definedName>
    <definedName name="monto_salarios">'LISTA SALARIOS'!$B$2:$B$149</definedName>
    <definedName hidden="1" localSheetId="1" name="_xlnm._FilterDatabase">MATRIZ!$L$3:$N$53</definedName>
    <definedName hidden="1" localSheetId="2" name="_xlnm._FilterDatabase">INGRESOS!$A$1:$N$282</definedName>
    <definedName hidden="1" localSheetId="3" name="_xlnm._FilterDatabase">SALARIOS!$A$1:$J$732</definedName>
    <definedName hidden="1" localSheetId="4" name="_xlnm._FilterDatabase">GASTOS!$A$1:$G$175</definedName>
    <definedName hidden="1" localSheetId="5" name="_xlnm._FilterDatabase">'Matriz antes'!$L$3:$N$53</definedName>
  </definedNames>
  <calcPr/>
</workbook>
</file>

<file path=xl/sharedStrings.xml><?xml version="1.0" encoding="utf-8"?>
<sst xmlns="http://schemas.openxmlformats.org/spreadsheetml/2006/main" count="4268" uniqueCount="436">
  <si>
    <t>AÑO</t>
  </si>
  <si>
    <t>INGRESO TOTAL ANUAL</t>
  </si>
  <si>
    <t>EGRESO TOTAL ANUAL</t>
  </si>
  <si>
    <t>GASTO TOTAL ANUAL</t>
  </si>
  <si>
    <t>SALARIO TOTAL ANUAL</t>
  </si>
  <si>
    <t>MARGEN TOTAL ANUAL</t>
  </si>
  <si>
    <t>UTILIDAD TOTAL ANUAL</t>
  </si>
  <si>
    <t>Mes</t>
  </si>
  <si>
    <t>Ingresos</t>
  </si>
  <si>
    <t>Gastos</t>
  </si>
  <si>
    <t>Salarios</t>
  </si>
  <si>
    <t>Margen de ganancia</t>
  </si>
  <si>
    <t>Utilidad neta</t>
  </si>
  <si>
    <t>Ingresos toro</t>
  </si>
  <si>
    <t>Ingresos inflables</t>
  </si>
  <si>
    <t>Ingresos sonido</t>
  </si>
  <si>
    <t>Ingresos pista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</si>
  <si>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</si>
  <si>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</si>
  <si>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</si>
  <si>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</si>
  <si>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</si>
  <si>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</si>
  <si>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</si>
  <si>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</si>
  <si>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</si>
  <si>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</si>
  <si>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</si>
  <si>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</si>
  <si>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Concepto</t>
  </si>
  <si>
    <t>Monto</t>
  </si>
  <si>
    <t>Utilidad</t>
  </si>
  <si>
    <t>MES</t>
  </si>
  <si>
    <t>INGRESO MENSUAL</t>
  </si>
  <si>
    <t>SALARIO MENSUAL</t>
  </si>
  <si>
    <t>GASTO MENSUAL</t>
  </si>
  <si>
    <t>EGRESO MENSUAL</t>
  </si>
  <si>
    <t>UTILIDAD MENSUAL</t>
  </si>
  <si>
    <t>Spiderman_cubo</t>
  </si>
  <si>
    <t>Party</t>
  </si>
  <si>
    <t>1 HORA TORO</t>
  </si>
  <si>
    <t>Jesús</t>
  </si>
  <si>
    <t>Artículos de sonido</t>
  </si>
  <si>
    <t>Mickey</t>
  </si>
  <si>
    <t>Plata</t>
  </si>
  <si>
    <t>2 HORAS TORO</t>
  </si>
  <si>
    <t>Angel</t>
  </si>
  <si>
    <t>Artículos de reparación</t>
  </si>
  <si>
    <t>Minions</t>
  </si>
  <si>
    <t>Chiquidisco</t>
  </si>
  <si>
    <t>3 HORAS TORO</t>
  </si>
  <si>
    <t>Carlos</t>
  </si>
  <si>
    <t>Artículos de toro</t>
  </si>
  <si>
    <t>Princesas</t>
  </si>
  <si>
    <t>Deluxe</t>
  </si>
  <si>
    <t>4 HORAS TORO</t>
  </si>
  <si>
    <t>Sebastián</t>
  </si>
  <si>
    <t>Gasolina</t>
  </si>
  <si>
    <t>Castillo</t>
  </si>
  <si>
    <t>Premium</t>
  </si>
  <si>
    <t>5 HORAS TORO</t>
  </si>
  <si>
    <t>Jesualdo</t>
  </si>
  <si>
    <t>Herramientas</t>
  </si>
  <si>
    <t>Spiderman_circular</t>
  </si>
  <si>
    <t>Oro</t>
  </si>
  <si>
    <t>6 HORAS TORO</t>
  </si>
  <si>
    <t>Rodrigo</t>
  </si>
  <si>
    <t>Impuestos</t>
  </si>
  <si>
    <t>Barbie</t>
  </si>
  <si>
    <t>Diamante</t>
  </si>
  <si>
    <t>Marco</t>
  </si>
  <si>
    <t>Mantenimiento almacén</t>
  </si>
  <si>
    <t>Princesas_circular</t>
  </si>
  <si>
    <t>Juan</t>
  </si>
  <si>
    <t>Publicidad</t>
  </si>
  <si>
    <t>Superheróes</t>
  </si>
  <si>
    <t>Alejandro</t>
  </si>
  <si>
    <t>Renta Sonido</t>
  </si>
  <si>
    <t>Obstaculos</t>
  </si>
  <si>
    <t>Axel</t>
  </si>
  <si>
    <t>Reparación audio</t>
  </si>
  <si>
    <t>Ricardo</t>
  </si>
  <si>
    <t>Reparaciones extra</t>
  </si>
  <si>
    <t>Reparación Toros</t>
  </si>
  <si>
    <t>Reparación vehículos</t>
  </si>
  <si>
    <t>Salarios extra</t>
  </si>
  <si>
    <t>Saldo</t>
  </si>
  <si>
    <t>Suministros toro</t>
  </si>
  <si>
    <t>Suministros audio</t>
  </si>
  <si>
    <t>CUENTAS CON SEBAS</t>
  </si>
  <si>
    <t>INGRESOS</t>
  </si>
  <si>
    <t>CONCEPTO</t>
  </si>
  <si>
    <t>ANTICIPO</t>
  </si>
  <si>
    <t>RECIBIÓ ANTICIPO</t>
  </si>
  <si>
    <t>LIQUIDACIÓN</t>
  </si>
  <si>
    <t>RECIBIÓ LIQUIDACIÓN</t>
  </si>
  <si>
    <t>GASTOS</t>
  </si>
  <si>
    <t>SOCIO</t>
  </si>
  <si>
    <t>Salario</t>
  </si>
  <si>
    <t>Trabajador</t>
  </si>
  <si>
    <t>GASTOS SEBAS</t>
  </si>
  <si>
    <t>GASTOS CARLOS</t>
  </si>
  <si>
    <t>SALARIOS</t>
  </si>
  <si>
    <t>SALARIOS EMPLEADOS</t>
  </si>
  <si>
    <t>GASTOS ANGEL</t>
  </si>
  <si>
    <t>EGRESOS</t>
  </si>
  <si>
    <t>SALARIO SEBAS</t>
  </si>
  <si>
    <t>UTILIDAD NETA</t>
  </si>
  <si>
    <t>SALARIOS EXCEPTO SEBAS</t>
  </si>
  <si>
    <t>UTILIDAD SOCIO</t>
  </si>
  <si>
    <t>INGRESOS SEBAS</t>
  </si>
  <si>
    <t>SALDO AQUINO</t>
  </si>
  <si>
    <t>INGRESOS CARLOS</t>
  </si>
  <si>
    <t>SALDO VASQUEZ</t>
  </si>
  <si>
    <t>INGRESOS ANGEL</t>
  </si>
  <si>
    <t>MARGEN DE GANANCIA</t>
  </si>
  <si>
    <t>SALARIO ANGEL</t>
  </si>
  <si>
    <t>SALARIO CARLOS</t>
  </si>
  <si>
    <t>CUENTAS CON CHARLY</t>
  </si>
  <si>
    <t>Java</t>
  </si>
  <si>
    <t>Sebas</t>
  </si>
  <si>
    <t>GANANCIAS</t>
  </si>
  <si>
    <t>GANANCIAS CADA QUIEN</t>
  </si>
  <si>
    <t>TIENE CHARLY</t>
  </si>
  <si>
    <t>TIENE ANGEL</t>
  </si>
  <si>
    <t>GASTOS CHARLY</t>
  </si>
  <si>
    <t>EXTRA ANGEL</t>
  </si>
  <si>
    <t>EXTRA CHARLY</t>
  </si>
  <si>
    <t>UTILIDAD CARLOS</t>
  </si>
  <si>
    <t>UTILIDAD ANGEL</t>
  </si>
  <si>
    <t>00000000000000000003</t>
  </si>
  <si>
    <t>SERVICIO</t>
  </si>
  <si>
    <t>FECHA</t>
  </si>
  <si>
    <t>DESCRIPCIÓN</t>
  </si>
  <si>
    <t>PRECIO</t>
  </si>
  <si>
    <t>AUMENTO</t>
  </si>
  <si>
    <t>DESCUENTO</t>
  </si>
  <si>
    <t>RECIBIÓ</t>
  </si>
  <si>
    <t>MONTO</t>
  </si>
  <si>
    <t>Año</t>
  </si>
  <si>
    <t>Toro</t>
  </si>
  <si>
    <t>2 horas toro</t>
  </si>
  <si>
    <t>Sonido</t>
  </si>
  <si>
    <t>Inflable</t>
  </si>
  <si>
    <t>1 hora toro</t>
  </si>
  <si>
    <t>3 horas toro</t>
  </si>
  <si>
    <t>4 horas toro</t>
  </si>
  <si>
    <t>sonido</t>
  </si>
  <si>
    <t>Pista</t>
  </si>
  <si>
    <t>5x4</t>
  </si>
  <si>
    <t>7x6</t>
  </si>
  <si>
    <t>inflable</t>
  </si>
  <si>
    <t>5x4 No iluminada</t>
  </si>
  <si>
    <t>4x4</t>
  </si>
  <si>
    <t>4x4 con contorno</t>
  </si>
  <si>
    <t>3x2</t>
  </si>
  <si>
    <t>toro</t>
  </si>
  <si>
    <t>Fecha</t>
  </si>
  <si>
    <t>Servicio</t>
  </si>
  <si>
    <t>descripción</t>
  </si>
  <si>
    <t>Descuento</t>
  </si>
  <si>
    <t>Aumento</t>
  </si>
  <si>
    <t>Total</t>
  </si>
  <si>
    <t>Bono</t>
  </si>
  <si>
    <t>Bono semanal</t>
  </si>
  <si>
    <t>Princesas dejar y recoger</t>
  </si>
  <si>
    <t>Mickey dejar y recoger</t>
  </si>
  <si>
    <t>Barbie dejar y recoger</t>
  </si>
  <si>
    <t>Obstaculos recoger</t>
  </si>
  <si>
    <t>Princesas c dejar y recoger</t>
  </si>
  <si>
    <t>Obstaculos dejar y recoger</t>
  </si>
  <si>
    <t>Spiderman c solo</t>
  </si>
  <si>
    <t>Spiderman cubo solo</t>
  </si>
  <si>
    <t>Deluxe dj animador</t>
  </si>
  <si>
    <t>Premium dj acompañado</t>
  </si>
  <si>
    <t>Premium animador</t>
  </si>
  <si>
    <t>Princesas c solo dejar y recoger</t>
  </si>
  <si>
    <t>Spiderman c solo dejar y recoger</t>
  </si>
  <si>
    <t>Superheroes dejar</t>
  </si>
  <si>
    <t>Castillo dejar</t>
  </si>
  <si>
    <t>Princesas c dejar</t>
  </si>
  <si>
    <t>Obstaculos dejar</t>
  </si>
  <si>
    <t>Spiderman cubo dejar</t>
  </si>
  <si>
    <t>Spiderman c dejar</t>
  </si>
  <si>
    <t>Superheroes dejar y recoger</t>
  </si>
  <si>
    <t>Diamante dj acompañado</t>
  </si>
  <si>
    <t>5x4 instalar</t>
  </si>
  <si>
    <t>Diamante acompañante</t>
  </si>
  <si>
    <t>Spiderman cubo dejar y recoger</t>
  </si>
  <si>
    <t>Spiderman c dejar y recoger</t>
  </si>
  <si>
    <t>Diamante animador</t>
  </si>
  <si>
    <t>Gastos extra</t>
  </si>
  <si>
    <t>Spiderman c recoger</t>
  </si>
  <si>
    <t>Spiderman cubo recoger</t>
  </si>
  <si>
    <t>Princesas solo</t>
  </si>
  <si>
    <t>Instalar sonido grande</t>
  </si>
  <si>
    <t>Bono noche</t>
  </si>
  <si>
    <t>Minions dejar y recoger</t>
  </si>
  <si>
    <t>Instalar y recoger toro</t>
  </si>
  <si>
    <t>Instalar toro</t>
  </si>
  <si>
    <t>Party solo</t>
  </si>
  <si>
    <t>Recoger toro</t>
  </si>
  <si>
    <t>Comisión toro 3hr</t>
  </si>
  <si>
    <t>Gerente</t>
  </si>
  <si>
    <t>Deluxe dj acompañado</t>
  </si>
  <si>
    <t>5x4 desmontar</t>
  </si>
  <si>
    <t>Castillo solo dejar y recoger</t>
  </si>
  <si>
    <t>Deluxe animador</t>
  </si>
  <si>
    <t>Party dj acompañado</t>
  </si>
  <si>
    <t>No iluminados montar</t>
  </si>
  <si>
    <t>No iluminados desmontar</t>
  </si>
  <si>
    <t>Princesas dejar</t>
  </si>
  <si>
    <t>Barbie dejar</t>
  </si>
  <si>
    <t>Comisión princesas</t>
  </si>
  <si>
    <t>Barbie solo</t>
  </si>
  <si>
    <t>Mickey solo</t>
  </si>
  <si>
    <t>Castillo solo</t>
  </si>
  <si>
    <t>Minions solo</t>
  </si>
  <si>
    <t>Castillo dejar y recoger</t>
  </si>
  <si>
    <t>Comision spiderman</t>
  </si>
  <si>
    <t>Comisión toro 2hr</t>
  </si>
  <si>
    <t>5x4 instalar y recoger</t>
  </si>
  <si>
    <t>Barbie solo dejar y recoger</t>
  </si>
  <si>
    <t>Instalar sonido</t>
  </si>
  <si>
    <t>Party acompañante</t>
  </si>
  <si>
    <t>Princesas solo dejar y recoger</t>
  </si>
  <si>
    <t>Deluxe acompañante</t>
  </si>
  <si>
    <t>Minions dejar</t>
  </si>
  <si>
    <t>7x6 instalar</t>
  </si>
  <si>
    <t>7x6 instalar y recoger</t>
  </si>
  <si>
    <t>7x6 desmontar</t>
  </si>
  <si>
    <t>Castillo recoger</t>
  </si>
  <si>
    <t>Mickey solo dejar y recoger</t>
  </si>
  <si>
    <t>Deluxe solo</t>
  </si>
  <si>
    <t>Party animador</t>
  </si>
  <si>
    <t>Deluxe hora extra</t>
  </si>
  <si>
    <t>Superheroes solo</t>
  </si>
  <si>
    <t>Mickey dejar</t>
  </si>
  <si>
    <t>Botarga</t>
  </si>
  <si>
    <t>Minions recoger</t>
  </si>
  <si>
    <t>Princesas recoger</t>
  </si>
  <si>
    <t>Superheroes recoger</t>
  </si>
  <si>
    <t>Mickey recoger</t>
  </si>
  <si>
    <t>Oro dj animador</t>
  </si>
  <si>
    <t>Diamante dj animador</t>
  </si>
  <si>
    <t>Diamante hora extra</t>
  </si>
  <si>
    <t xml:space="preserve">Oro acompañante </t>
  </si>
  <si>
    <t>Comisión spiderman c</t>
  </si>
  <si>
    <t>Quitar sonido</t>
  </si>
  <si>
    <t>Princesas c recoger</t>
  </si>
  <si>
    <t>4 iluminados 12 tarimas instalar</t>
  </si>
  <si>
    <t>4 iluminados 12 tarimas recoger</t>
  </si>
  <si>
    <t>4x4 instalar y recoger</t>
  </si>
  <si>
    <t>3x2 instalar y desmontar</t>
  </si>
  <si>
    <t>Quitar sonido grande</t>
  </si>
  <si>
    <t>Plata solo</t>
  </si>
  <si>
    <t>Comisión toro 4hr</t>
  </si>
  <si>
    <t>Comisión obstaculos</t>
  </si>
  <si>
    <t>Superheroes solo dejar y recoger</t>
  </si>
  <si>
    <t>Comisión mickey</t>
  </si>
  <si>
    <t>Columna 1</t>
  </si>
  <si>
    <t>Gasolina faw</t>
  </si>
  <si>
    <t>Cinta gris</t>
  </si>
  <si>
    <t>Pilas y cable plug</t>
  </si>
  <si>
    <t>Cables y switch</t>
  </si>
  <si>
    <t>Cables XLR</t>
  </si>
  <si>
    <t>Gasolina Mazda</t>
  </si>
  <si>
    <t>Gasolina Ranger</t>
  </si>
  <si>
    <t>Cinta de aislar</t>
  </si>
  <si>
    <t>Reparación bocinas</t>
  </si>
  <si>
    <t>Reparación Dino</t>
  </si>
  <si>
    <t>Renta audio</t>
  </si>
  <si>
    <t>Comisióm Juan</t>
  </si>
  <si>
    <t>Pilas</t>
  </si>
  <si>
    <t>Gasolina Faw</t>
  </si>
  <si>
    <t>Clavijas</t>
  </si>
  <si>
    <t>gasolina eco</t>
  </si>
  <si>
    <t>Gasolina mazda</t>
  </si>
  <si>
    <t>Vulcanizadora mazda</t>
  </si>
  <si>
    <t>Cable cabina</t>
  </si>
  <si>
    <t>Caja de plástico</t>
  </si>
  <si>
    <t>Renta roca</t>
  </si>
  <si>
    <t>Chisperos</t>
  </si>
  <si>
    <t>Tornillos</t>
  </si>
  <si>
    <t>Ferretería</t>
  </si>
  <si>
    <t>Cable</t>
  </si>
  <si>
    <t>Salario animador</t>
  </si>
  <si>
    <t>Contador</t>
  </si>
  <si>
    <t>Declaración octubre</t>
  </si>
  <si>
    <t>gasolina Faw</t>
  </si>
  <si>
    <t>Extensión</t>
  </si>
  <si>
    <t>Reparación Faw</t>
  </si>
  <si>
    <t>Ojillos</t>
  </si>
  <si>
    <t>Conector proyector</t>
  </si>
  <si>
    <t>Anticongelante</t>
  </si>
  <si>
    <t>Gasolina eco</t>
  </si>
  <si>
    <t>Reparación portón</t>
  </si>
  <si>
    <t>Salario pendiente a Juan</t>
  </si>
  <si>
    <t>Llave</t>
  </si>
  <si>
    <t>Gasolina Aveo</t>
  </si>
  <si>
    <t>Virtual dj</t>
  </si>
  <si>
    <t>Gasolina ranger</t>
  </si>
  <si>
    <t>Salario Marcos Cruz</t>
  </si>
  <si>
    <t>Adaptador macbook</t>
  </si>
  <si>
    <t>Abrazaderas cables</t>
  </si>
  <si>
    <t>porta audífonos</t>
  </si>
  <si>
    <t>Pijas</t>
  </si>
  <si>
    <t>Conectores y pilas</t>
  </si>
  <si>
    <t>Carbones y fusibles</t>
  </si>
  <si>
    <t>Reparación match</t>
  </si>
  <si>
    <t>Microfóno</t>
  </si>
  <si>
    <t>Luces parled</t>
  </si>
  <si>
    <t>Trapeadores</t>
  </si>
  <si>
    <t>Regalias</t>
  </si>
  <si>
    <t>Desarmador</t>
  </si>
  <si>
    <t>Animador</t>
  </si>
  <si>
    <t>Manta, multicontactos</t>
  </si>
  <si>
    <t>Duplicado llaves</t>
  </si>
  <si>
    <t>Servicio Ranger</t>
  </si>
  <si>
    <t>Reparación melo</t>
  </si>
  <si>
    <t>Cargador pilas</t>
  </si>
  <si>
    <t>Cable xlr plug</t>
  </si>
  <si>
    <t>Reparación mezlcadora</t>
  </si>
  <si>
    <t>Reparación LG</t>
  </si>
  <si>
    <t>Cosas de mercado</t>
  </si>
  <si>
    <t>Clavijas, contactos y cautin</t>
  </si>
  <si>
    <t>Saldo toro</t>
  </si>
  <si>
    <t>Atril microfónos</t>
  </si>
  <si>
    <t xml:space="preserve">Reparación Mazda </t>
  </si>
  <si>
    <t>Declaración diciembre</t>
  </si>
  <si>
    <t>Reparación Toribio, cabina</t>
  </si>
  <si>
    <t xml:space="preserve">Pago de tenencia Mazda </t>
  </si>
  <si>
    <t xml:space="preserve">Reparación muelle Mazda </t>
  </si>
  <si>
    <t>Franelas y aromatizante</t>
  </si>
  <si>
    <t>Salario Oscar</t>
  </si>
  <si>
    <t>Pago de Tenencia Faw</t>
  </si>
  <si>
    <t>Reparación Ranger</t>
  </si>
  <si>
    <t>Pago tenencia Ranger</t>
  </si>
  <si>
    <t>Salario DJ</t>
  </si>
  <si>
    <t>Conector Steren</t>
  </si>
  <si>
    <t>Renta bocinas</t>
  </si>
  <si>
    <t>Salario Dj</t>
  </si>
  <si>
    <t>Salario Animador</t>
  </si>
  <si>
    <t>SALARIO DJ</t>
  </si>
  <si>
    <t>GASOLINA FAW</t>
  </si>
  <si>
    <t>RECARGA TONER</t>
  </si>
  <si>
    <t>CONECTORES TORO</t>
  </si>
  <si>
    <t>SALDO CEL SONIDO</t>
  </si>
  <si>
    <t>GASOLINA MAZDA</t>
  </si>
  <si>
    <t>APAGADOR DE BATERIA</t>
  </si>
  <si>
    <t>PIEZAS IMPRESORA</t>
  </si>
  <si>
    <t>FUNDA PROYECTOR</t>
  </si>
  <si>
    <t>CHEQUEO MAZDA</t>
  </si>
  <si>
    <t>PAGO DE SALARIOS</t>
  </si>
  <si>
    <t>NOMBRE</t>
  </si>
  <si>
    <t>EDAD</t>
  </si>
  <si>
    <t>SALARIO</t>
  </si>
  <si>
    <t>5 horas toro</t>
  </si>
  <si>
    <t>6 horas toro</t>
  </si>
  <si>
    <t>Spiderman cubo solo dejar y recoger</t>
  </si>
  <si>
    <t>Minions solo dejar y recoger</t>
  </si>
  <si>
    <t>Barbie recoger</t>
  </si>
  <si>
    <t>Princesas c solo</t>
  </si>
  <si>
    <t>Party dj animador</t>
  </si>
  <si>
    <t>Party hora extra</t>
  </si>
  <si>
    <t>Plata dj animador</t>
  </si>
  <si>
    <t>Plata dj acompañado</t>
  </si>
  <si>
    <t>Plata acompañante</t>
  </si>
  <si>
    <t>Plata animador</t>
  </si>
  <si>
    <t>Plata hora extra</t>
  </si>
  <si>
    <t>Chiquidisco dj animador</t>
  </si>
  <si>
    <t>Chiquidisco dj acompañado</t>
  </si>
  <si>
    <t>Chiquidisco acompañante</t>
  </si>
  <si>
    <t>Chiquidisco animador</t>
  </si>
  <si>
    <t>Chiquidisco hora extra</t>
  </si>
  <si>
    <t>Premium dj animador</t>
  </si>
  <si>
    <t>Premium acompañante</t>
  </si>
  <si>
    <t>Premium hora extra</t>
  </si>
  <si>
    <t>Oro dj acompañado</t>
  </si>
  <si>
    <t>Oro animador</t>
  </si>
  <si>
    <t>Oro hora extra</t>
  </si>
  <si>
    <t>3x2 instalar</t>
  </si>
  <si>
    <t>3x2 desmontar</t>
  </si>
  <si>
    <t>3x4 instalar</t>
  </si>
  <si>
    <t>3x4 desmontar</t>
  </si>
  <si>
    <t>3x4 instalar y recoger</t>
  </si>
  <si>
    <t>4x4 instalar</t>
  </si>
  <si>
    <t>4x4 desmontar</t>
  </si>
  <si>
    <t>No iluminados instalar y recoger</t>
  </si>
  <si>
    <t>1 hora botarga</t>
  </si>
  <si>
    <t>2 horas botarga</t>
  </si>
  <si>
    <t>3 horas botarga</t>
  </si>
  <si>
    <t>4 horas botarga</t>
  </si>
  <si>
    <t>5 horas botarga</t>
  </si>
  <si>
    <t>Comisión minions</t>
  </si>
  <si>
    <t>Comisión castillo</t>
  </si>
  <si>
    <t>Comisión superheroes</t>
  </si>
  <si>
    <t>Comisión barbie</t>
  </si>
  <si>
    <t>Comisión princesas c</t>
  </si>
  <si>
    <t>Comisión toro 1hr</t>
  </si>
  <si>
    <t>Comisión party</t>
  </si>
  <si>
    <t>Comisión plata</t>
  </si>
  <si>
    <t>Comisión deluxe</t>
  </si>
  <si>
    <t>Comisión premium</t>
  </si>
  <si>
    <t>Comisión oro</t>
  </si>
  <si>
    <t>Comisión diamante</t>
  </si>
  <si>
    <t>Descripción</t>
  </si>
  <si>
    <t>1 hora</t>
  </si>
  <si>
    <t>2 horas</t>
  </si>
  <si>
    <t>3 horas</t>
  </si>
  <si>
    <t>4 horas</t>
  </si>
  <si>
    <t>5 horas</t>
  </si>
  <si>
    <t>6 horas</t>
  </si>
  <si>
    <t>Modelo</t>
  </si>
  <si>
    <t>MIckey solo</t>
  </si>
  <si>
    <t>MInions solo</t>
  </si>
  <si>
    <t>COSTO</t>
  </si>
  <si>
    <t>3x4</t>
  </si>
  <si>
    <t>1 HORA BOTARGA</t>
  </si>
  <si>
    <t>2 HORAS BOTARGA</t>
  </si>
  <si>
    <t>3 HORAS BOTARGA</t>
  </si>
  <si>
    <t>4 HORAS BOTARGA</t>
  </si>
  <si>
    <t>Medidas</t>
  </si>
  <si>
    <t>Horas</t>
  </si>
  <si>
    <t>salario</t>
  </si>
  <si>
    <t>ID</t>
  </si>
  <si>
    <t>S01</t>
  </si>
  <si>
    <t>S02</t>
  </si>
  <si>
    <t>S03</t>
  </si>
  <si>
    <t>S04</t>
  </si>
  <si>
    <t>S05</t>
  </si>
  <si>
    <t>S06</t>
  </si>
  <si>
    <t>HORAS</t>
  </si>
  <si>
    <t>MODELO</t>
  </si>
  <si>
    <t>PAQUETE</t>
  </si>
  <si>
    <t>TAMAÑO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</si>
</sst>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"/>
    <numFmt numFmtId="165" formatCode="&quot;$&quot;#,##0"/>
    <numFmt numFmtId="166" formatCode="dddd&quot;, &quot;d&quot; de &quot;mmmm&quot; de &quot;yyyy"/>
    <numFmt numFmtId="167" formatCode="&quot;$&quot;#,##0.00"/>
    <numFmt numFmtId="168" formatCode="d/M/yyyy"/>
  </numFmts>
  <fonts count="21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3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sz val="12.0"/>
      <color rgb="FFFFFFFF"/>
      <name val="Arial"/>
      <scheme val="minor"/>
    </font>
    <font>
      <b/>
      <sz val="14.0"/>
      <color rgb="FFFFFFFF"/>
      <name val="Arial"/>
      <scheme val="minor"/>
    </font>
    <font/>
    <font>
      <b/>
      <sz val="14.0"/>
      <color rgb="FF434343"/>
      <name val="Arial"/>
      <scheme val="minor"/>
    </font>
    <font>
      <b/>
      <color rgb="FFFFFFFF"/>
      <name val="Arial"/>
      <scheme val="minor"/>
    </font>
    <font>
      <b/>
      <sz val="13.0"/>
      <color theme="1"/>
      <name val="Arial"/>
      <scheme val="minor"/>
    </font>
    <font>
      <b/>
      <sz val="12.0"/>
      <color rgb="FF434343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sz val="16.0"/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color rgb="FF434343"/>
      <name val="Roboto"/>
    </font>
    <font>
      <color theme="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674EA7"/>
        <bgColor rgb="FF674EA7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</fills>
  <borders count="14">
    <border/>
    <border>
      <left style="medium">
        <color rgb="FFFFFFFF"/>
      </left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434343"/>
      </left>
      <top style="medium">
        <color rgb="FF434343"/>
      </top>
      <bottom style="medium">
        <color rgb="FF434343"/>
      </bottom>
    </border>
    <border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thick">
        <color rgb="FF434343"/>
      </left>
      <right style="thick">
        <color rgb="FF434343"/>
      </right>
      <top style="thick">
        <color rgb="FF434343"/>
      </top>
      <bottom style="thick">
        <color rgb="FF434343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Font="1"/>
    <xf borderId="0" fillId="2" fontId="4" numFmtId="0" xfId="0" applyFont="1"/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wrapText="1"/>
    </xf>
    <xf borderId="1" fillId="2" fontId="6" numFmtId="0" xfId="0" applyAlignment="1" applyBorder="1" applyFont="1">
      <alignment horizontal="center" readingOrder="0" shrinkToFit="0" vertical="center" wrapText="1"/>
    </xf>
    <xf borderId="2" fillId="0" fontId="7" numFmtId="0" xfId="0" applyBorder="1" applyFont="1"/>
    <xf borderId="3" fillId="2" fontId="6" numFmtId="0" xfId="0" applyAlignment="1" applyBorder="1" applyFont="1">
      <alignment readingOrder="0"/>
    </xf>
    <xf borderId="3" fillId="0" fontId="7" numFmtId="0" xfId="0" applyBorder="1" applyFont="1"/>
    <xf borderId="1" fillId="2" fontId="6" numFmtId="0" xfId="0" applyAlignment="1" applyBorder="1" applyFont="1">
      <alignment horizontal="center" readingOrder="0" shrinkToFit="0" wrapText="1"/>
    </xf>
    <xf borderId="4" fillId="2" fontId="6" numFmtId="0" xfId="0" applyAlignment="1" applyBorder="1" applyFont="1">
      <alignment readingOrder="0" shrinkToFit="0" wrapText="1"/>
    </xf>
    <xf borderId="0" fillId="2" fontId="5" numFmtId="0" xfId="0" applyAlignment="1" applyFont="1">
      <alignment horizontal="center"/>
    </xf>
    <xf borderId="5" fillId="3" fontId="8" numFmtId="164" xfId="0" applyAlignment="1" applyBorder="1" applyFill="1" applyFont="1" applyNumberFormat="1">
      <alignment horizontal="center"/>
    </xf>
    <xf borderId="6" fillId="0" fontId="7" numFmtId="0" xfId="0" applyBorder="1" applyFont="1"/>
    <xf borderId="5" fillId="3" fontId="8" numFmtId="165" xfId="0" applyAlignment="1" applyBorder="1" applyFont="1" applyNumberFormat="1">
      <alignment horizontal="center" readingOrder="0" shrinkToFit="0" vertical="center" wrapText="1"/>
    </xf>
    <xf borderId="5" fillId="3" fontId="8" numFmtId="165" xfId="0" applyAlignment="1" applyBorder="1" applyFont="1" applyNumberFormat="1">
      <alignment horizontal="center"/>
    </xf>
    <xf borderId="5" fillId="3" fontId="8" numFmtId="9" xfId="0" applyAlignment="1" applyBorder="1" applyFont="1" applyNumberFormat="1">
      <alignment horizontal="center"/>
    </xf>
    <xf borderId="7" fillId="3" fontId="8" numFmtId="164" xfId="0" applyAlignment="1" applyBorder="1" applyFont="1" applyNumberFormat="1">
      <alignment horizontal="center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horizontal="center"/>
    </xf>
    <xf borderId="0" fillId="2" fontId="3" numFmtId="9" xfId="0" applyAlignment="1" applyFont="1" applyNumberFormat="1">
      <alignment horizontal="center"/>
    </xf>
    <xf borderId="0" fillId="2" fontId="3" numFmtId="164" xfId="0" applyFont="1" applyNumberFormat="1"/>
    <xf borderId="0" fillId="2" fontId="3" numFmtId="165" xfId="0" applyFont="1" applyNumberFormat="1"/>
    <xf borderId="0" fillId="2" fontId="9" numFmtId="0" xfId="0" applyFont="1"/>
    <xf borderId="0" fillId="2" fontId="10" numFmtId="0" xfId="0" applyAlignment="1" applyFont="1">
      <alignment readingOrder="0"/>
    </xf>
    <xf borderId="4" fillId="2" fontId="5" numFmtId="0" xfId="0" applyAlignment="1" applyBorder="1" applyFont="1">
      <alignment horizontal="center" readingOrder="0" shrinkToFit="0" wrapText="1"/>
    </xf>
    <xf borderId="8" fillId="3" fontId="11" numFmtId="165" xfId="0" applyAlignment="1" applyBorder="1" applyFont="1" applyNumberFormat="1">
      <alignment horizontal="center" vertical="center"/>
    </xf>
    <xf borderId="0" fillId="2" fontId="3" numFmtId="165" xfId="0" applyAlignment="1" applyFont="1" applyNumberFormat="1">
      <alignment horizontal="center"/>
    </xf>
    <xf borderId="0" fillId="2" fontId="6" numFmtId="0" xfId="0" applyAlignment="1" applyFont="1">
      <alignment horizontal="center" readingOrder="0" shrinkToFit="0" wrapText="1"/>
    </xf>
    <xf borderId="0" fillId="2" fontId="8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2" fontId="4" numFmtId="165" xfId="0" applyFont="1" applyNumberFormat="1"/>
    <xf borderId="0" fillId="4" fontId="3" numFmtId="0" xfId="0" applyAlignment="1" applyFill="1" applyFont="1">
      <alignment readingOrder="0"/>
    </xf>
    <xf borderId="0" fillId="4" fontId="12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9" fillId="5" fontId="5" numFmtId="0" xfId="0" applyAlignment="1" applyBorder="1" applyFill="1" applyFont="1">
      <alignment horizontal="center" readingOrder="0"/>
    </xf>
    <xf borderId="10" fillId="0" fontId="7" numFmtId="0" xfId="0" applyBorder="1" applyFont="1"/>
    <xf borderId="0" fillId="0" fontId="13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1" fillId="5" fontId="5" numFmtId="0" xfId="0" applyAlignment="1" applyBorder="1" applyFont="1">
      <alignment readingOrder="0"/>
    </xf>
    <xf borderId="11" fillId="6" fontId="15" numFmtId="167" xfId="0" applyBorder="1" applyFill="1" applyFont="1" applyNumberFormat="1"/>
    <xf borderId="0" fillId="0" fontId="4" numFmtId="164" xfId="0" applyFont="1" applyNumberFormat="1"/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4" numFmtId="167" xfId="0" applyAlignment="1" applyFont="1" applyNumberFormat="1">
      <alignment horizontal="center" shrinkToFit="0" vertical="center" wrapText="0"/>
    </xf>
    <xf borderId="11" fillId="6" fontId="16" numFmtId="167" xfId="0" applyBorder="1" applyFont="1" applyNumberFormat="1"/>
    <xf borderId="11" fillId="0" fontId="17" numFmtId="9" xfId="0" applyBorder="1" applyFont="1" applyNumberFormat="1"/>
    <xf borderId="9" fillId="7" fontId="13" numFmtId="0" xfId="0" applyAlignment="1" applyBorder="1" applyFill="1" applyFont="1">
      <alignment horizontal="center" readingOrder="0"/>
    </xf>
    <xf borderId="11" fillId="7" fontId="13" numFmtId="0" xfId="0" applyAlignment="1" applyBorder="1" applyFont="1">
      <alignment horizontal="center" readingOrder="0"/>
    </xf>
    <xf borderId="11" fillId="0" fontId="12" numFmtId="0" xfId="0" applyAlignment="1" applyBorder="1" applyFont="1">
      <alignment readingOrder="0"/>
    </xf>
    <xf borderId="11" fillId="0" fontId="4" numFmtId="164" xfId="0" applyBorder="1" applyFont="1" applyNumberFormat="1"/>
    <xf borderId="11" fillId="0" fontId="4" numFmtId="0" xfId="0" applyAlignment="1" applyBorder="1" applyFont="1">
      <alignment readingOrder="0"/>
    </xf>
    <xf borderId="0" fillId="0" fontId="4" numFmtId="0" xfId="0" applyFont="1"/>
    <xf borderId="11" fillId="0" fontId="4" numFmtId="164" xfId="0" applyAlignment="1" applyBorder="1" applyFont="1" applyNumberFormat="1">
      <alignment readingOrder="0"/>
    </xf>
    <xf borderId="11" fillId="0" fontId="14" numFmtId="0" xfId="0" applyAlignment="1" applyBorder="1" applyFont="1">
      <alignment readingOrder="0"/>
    </xf>
    <xf borderId="11" fillId="0" fontId="16" numFmtId="164" xfId="0" applyBorder="1" applyFont="1" applyNumberFormat="1"/>
    <xf borderId="0" fillId="0" fontId="4" numFmtId="0" xfId="0" applyAlignment="1" applyFont="1">
      <alignment horizontal="left" readingOrder="0" shrinkToFit="0" vertical="center" wrapText="0"/>
    </xf>
    <xf borderId="0" fillId="0" fontId="4" numFmtId="168" xfId="0" applyAlignment="1" applyFont="1" applyNumberFormat="1">
      <alignment horizontal="left" readingOrder="0" shrinkToFit="0" vertical="center" wrapText="0"/>
    </xf>
    <xf borderId="0" fillId="0" fontId="4" numFmtId="167" xfId="0" applyAlignment="1" applyFont="1" applyNumberFormat="1">
      <alignment horizontal="left" readingOrder="0" shrinkToFit="0" vertical="center" wrapText="0"/>
    </xf>
    <xf borderId="0" fillId="0" fontId="4" numFmtId="164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8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4" numFmtId="167" xfId="0" applyAlignment="1" applyFont="1" applyNumberFormat="1">
      <alignment readingOrder="0" shrinkToFit="0" vertical="center" wrapText="0"/>
    </xf>
    <xf borderId="0" fillId="0" fontId="4" numFmtId="167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8" numFmtId="167" xfId="0" applyAlignment="1" applyFont="1" applyNumberFormat="1">
      <alignment readingOrder="0" shrinkToFit="0" vertical="center" wrapText="0"/>
    </xf>
    <xf borderId="0" fillId="0" fontId="18" numFmtId="164" xfId="0" applyAlignment="1" applyFont="1" applyNumberFormat="1">
      <alignment readingOrder="0" shrinkToFit="0" vertical="center" wrapText="0"/>
    </xf>
    <xf borderId="0" fillId="0" fontId="18" numFmtId="167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4" numFmtId="168" xfId="0" applyAlignment="1" applyFont="1" applyNumberFormat="1">
      <alignment shrinkToFit="0" vertical="center" wrapText="0"/>
    </xf>
    <xf borderId="0" fillId="0" fontId="4" numFmtId="167" xfId="0" applyAlignment="1" applyFont="1" applyNumberFormat="1">
      <alignment shrinkToFit="0" vertical="center" wrapText="0"/>
    </xf>
    <xf borderId="0" fillId="0" fontId="4" numFmtId="167" xfId="0" applyAlignment="1" applyFont="1" applyNumberFormat="1">
      <alignment shrinkToFit="0" vertical="center" wrapText="0"/>
    </xf>
    <xf borderId="0" fillId="0" fontId="4" numFmtId="168" xfId="0" applyFont="1" applyNumberFormat="1"/>
    <xf borderId="0" fillId="0" fontId="4" numFmtId="167" xfId="0" applyFont="1" applyNumberFormat="1"/>
    <xf borderId="0" fillId="0" fontId="18" numFmtId="168" xfId="0" applyAlignment="1" applyFont="1" applyNumberFormat="1">
      <alignment readingOrder="0" shrinkToFit="0" vertical="center" wrapText="0"/>
    </xf>
    <xf borderId="0" fillId="0" fontId="12" numFmtId="164" xfId="0" applyAlignment="1" applyFont="1" applyNumberFormat="1">
      <alignment readingOrder="0" shrinkToFit="0" vertical="center" wrapText="0"/>
    </xf>
    <xf borderId="0" fillId="0" fontId="12" numFmtId="167" xfId="0" applyAlignment="1" applyFont="1" applyNumberFormat="1">
      <alignment readingOrder="0" shrinkToFit="0" vertical="center" wrapText="0"/>
    </xf>
    <xf borderId="0" fillId="0" fontId="12" numFmtId="168" xfId="0" applyAlignment="1" applyFont="1" applyNumberFormat="1">
      <alignment readingOrder="0" shrinkToFit="0" vertical="center" wrapText="0"/>
    </xf>
    <xf borderId="0" fillId="8" fontId="19" numFmtId="0" xfId="0" applyAlignment="1" applyFill="1" applyFont="1">
      <alignment readingOrder="0" shrinkToFit="0" vertical="center" wrapText="0"/>
    </xf>
    <xf borderId="12" fillId="0" fontId="4" numFmtId="0" xfId="0" applyAlignment="1" applyBorder="1" applyFont="1">
      <alignment readingOrder="0" shrinkToFit="0" vertical="center" wrapText="0"/>
    </xf>
    <xf borderId="13" fillId="3" fontId="19" numFmtId="0" xfId="0" applyAlignment="1" applyBorder="1" applyFont="1">
      <alignment shrinkToFit="0" vertical="center" wrapText="0"/>
    </xf>
    <xf borderId="0" fillId="8" fontId="19" numFmtId="0" xfId="0" applyAlignment="1" applyFont="1">
      <alignment shrinkToFit="0" vertical="center" wrapText="0"/>
    </xf>
    <xf borderId="0" fillId="0" fontId="4" numFmtId="168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7" xfId="0" applyAlignment="1" applyFont="1" applyNumberFormat="1">
      <alignment shrinkToFit="0" vertical="center" wrapText="0"/>
    </xf>
    <xf borderId="0" fillId="0" fontId="4" numFmtId="167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4" fontId="20" numFmtId="0" xfId="0" applyAlignment="1" applyFont="1">
      <alignment readingOrder="0"/>
    </xf>
    <xf borderId="11" fillId="6" fontId="15" numFmtId="165" xfId="0" applyBorder="1" applyFont="1" applyNumberFormat="1"/>
    <xf borderId="11" fillId="6" fontId="15" numFmtId="164" xfId="0" applyBorder="1" applyFont="1" applyNumberForma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5" xfId="0" applyFont="1" applyNumberForma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9">
    <tableStyle count="4" pivot="0" name="MATRI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RIZ-style 2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MATRIZ-style 3">
      <tableStyleElement dxfId="7" type="headerRow"/>
      <tableStyleElement dxfId="2" type="firstRowStripe"/>
      <tableStyleElement dxfId="8" type="secondRowStripe"/>
      <tableStyleElement dxfId="4" size="0" type="wholeTable"/>
    </tableStyle>
    <tableStyle count="4" pivot="0" name="INGRESOS-style">
      <tableStyleElement dxfId="1" type="headerRow"/>
      <tableStyleElement dxfId="2" type="firstRowStripe"/>
      <tableStyleElement dxfId="13" type="secondRowStripe"/>
      <tableStyleElement dxfId="4" size="0" type="wholeTable"/>
    </tableStyle>
    <tableStyle count="4" pivot="0" name="SALARIOS-style">
      <tableStyleElement dxfId="7" type="headerRow"/>
      <tableStyleElement dxfId="2" type="firstRowStripe"/>
      <tableStyleElement dxfId="13" type="secondRowStripe"/>
      <tableStyleElement dxfId="4" size="0" type="wholeTable"/>
    </tableStyle>
    <tableStyle count="4" pivot="0" name="GASTOS-style">
      <tableStyleElement dxfId="5" type="headerRow"/>
      <tableStyleElement dxfId="2" type="firstRowStripe"/>
      <tableStyleElement dxfId="13" type="secondRowStripe"/>
      <tableStyleElement dxfId="4" size="0" type="wholeTable"/>
    </tableStyle>
    <tableStyle count="4" pivot="0" name="Matriz a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riz antes-style 2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Matriz antes-style 3">
      <tableStyleElement dxfId="7" type="headerRow"/>
      <tableStyleElement dxfId="2" type="firstRowStripe"/>
      <tableStyleElement dxfId="8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3F3F3"/>
                </a:solidFill>
                <a:latin typeface="+mn-lt"/>
              </a:defRPr>
            </a:pPr>
            <a:r>
              <a:rPr b="0">
                <a:solidFill>
                  <a:srgbClr val="F3F3F3"/>
                </a:solidFill>
                <a:latin typeface="+mn-lt"/>
              </a:rPr>
              <a:t>Ingresos, Gastos y Salarios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DASHBOARD!$C$5</c:f>
            </c:strRef>
          </c:tx>
          <c:spPr>
            <a:ln cmpd="sng" w="38100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DASHBOARD!$B$6:$B$17</c:f>
            </c:strRef>
          </c:cat>
          <c:val>
            <c:numRef>
              <c:f>DASHBOARD!$C$6:$C$17</c:f>
              <c:numCache/>
            </c:numRef>
          </c:val>
          <c:smooth val="0"/>
        </c:ser>
        <c:ser>
          <c:idx val="1"/>
          <c:order val="1"/>
          <c:tx>
            <c:strRef>
              <c:f>DASHBOARD!$D$5</c:f>
            </c:strRef>
          </c:tx>
          <c:spPr>
            <a:ln cmpd="sng" w="38100">
              <a:solidFill>
                <a:srgbClr val="E0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DASHBOARD!$B$6:$B$17</c:f>
            </c:strRef>
          </c:cat>
          <c:val>
            <c:numRef>
              <c:f>DASHBOARD!$D$6:$D$17</c:f>
              <c:numCache/>
            </c:numRef>
          </c:val>
          <c:smooth val="0"/>
        </c:ser>
        <c:ser>
          <c:idx val="2"/>
          <c:order val="2"/>
          <c:tx>
            <c:strRef>
              <c:f>DASHBOARD!$E$5</c:f>
            </c:strRef>
          </c:tx>
          <c:spPr>
            <a:ln cmpd="sng" w="38100">
              <a:solidFill>
                <a:srgbClr val="6D9EE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DASHBOARD!$B$6:$B$17</c:f>
            </c:strRef>
          </c:cat>
          <c:val>
            <c:numRef>
              <c:f>DASHBOARD!$E$6:$E$17</c:f>
              <c:numCache/>
            </c:numRef>
          </c:val>
          <c:smooth val="0"/>
        </c:ser>
        <c:axId val="1650652709"/>
        <c:axId val="1319103051"/>
      </c:lineChart>
      <c:catAx>
        <c:axId val="1650652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319103051"/>
      </c:catAx>
      <c:valAx>
        <c:axId val="1319103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650652709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43434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Margen de Ganancia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DASHBOARD!$F$5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DASHBOARD!$B$6:$B$17</c:f>
            </c:strRef>
          </c:cat>
          <c:val>
            <c:numRef>
              <c:f>DASHBOARD!$F$6:$F$17</c:f>
              <c:numCache/>
            </c:numRef>
          </c:val>
        </c:ser>
        <c:axId val="1844835212"/>
        <c:axId val="1045018450"/>
      </c:barChart>
      <c:catAx>
        <c:axId val="1844835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45018450"/>
      </c:catAx>
      <c:valAx>
        <c:axId val="104501845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448352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43434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Monto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DASHBOARD!$C$19</c:f>
            </c:strRef>
          </c:tx>
          <c:dPt>
            <c:idx val="0"/>
            <c:spPr>
              <a:solidFill>
                <a:srgbClr val="9FC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3D85C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73763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2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DASHBOARD!$B$20:$B$22</c:f>
            </c:strRef>
          </c:cat>
          <c:val>
            <c:numRef>
              <c:f>DASHBOARD!$C$20:$C$22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layout>
        <c:manualLayout>
          <c:xMode val="edge"/>
          <c:yMode val="edge"/>
          <c:x val="0.7968915557487913"/>
          <c:y val="0.38123215462332527"/>
        </c:manualLayout>
      </c:layout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43434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DASHBOARD!$H$5</c:f>
            </c:strRef>
          </c:tx>
          <c:spPr>
            <a:solidFill>
              <a:srgbClr val="38761D"/>
            </a:solidFill>
            <a:ln cmpd="sng" w="38100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DASHBOARD!$B$6:$B$17</c:f>
            </c:strRef>
          </c:cat>
          <c:val>
            <c:numRef>
              <c:f>DASHBOARD!$H$6:$H$17</c:f>
              <c:numCache/>
            </c:numRef>
          </c:val>
        </c:ser>
        <c:ser>
          <c:idx val="1"/>
          <c:order val="1"/>
          <c:tx>
            <c:strRef>
              <c:f>DASHBOARD!$I$5</c:f>
            </c:strRef>
          </c:tx>
          <c:spPr>
            <a:solidFill>
              <a:srgbClr val="3C78D8"/>
            </a:solidFill>
            <a:ln cmpd="sng" w="38100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DASHBOARD!$B$6:$B$17</c:f>
            </c:strRef>
          </c:cat>
          <c:val>
            <c:numRef>
              <c:f>DASHBOARD!$I$6:$I$17</c:f>
              <c:numCache/>
            </c:numRef>
          </c:val>
        </c:ser>
        <c:ser>
          <c:idx val="2"/>
          <c:order val="2"/>
          <c:tx>
            <c:strRef>
              <c:f>DASHBOARD!$J$5</c:f>
            </c:strRef>
          </c:tx>
          <c:spPr>
            <a:solidFill>
              <a:srgbClr val="FF9900"/>
            </a:solidFill>
            <a:ln cmpd="sng" w="38100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DASHBOARD!$B$6:$B$17</c:f>
            </c:strRef>
          </c:cat>
          <c:val>
            <c:numRef>
              <c:f>DASHBOARD!$J$6:$J$17</c:f>
              <c:numCache/>
            </c:numRef>
          </c:val>
        </c:ser>
        <c:ser>
          <c:idx val="3"/>
          <c:order val="3"/>
          <c:tx>
            <c:strRef>
              <c:f>DASHBOARD!$K$5</c:f>
            </c:strRef>
          </c:tx>
          <c:spPr>
            <a:solidFill>
              <a:srgbClr val="E06666"/>
            </a:solidFill>
            <a:ln cmpd="sng" w="38100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DASHBOARD!$B$6:$B$17</c:f>
            </c:strRef>
          </c:cat>
          <c:val>
            <c:numRef>
              <c:f>DASHBOARD!$K$6:$K$17</c:f>
              <c:numCache/>
            </c:numRef>
          </c:val>
        </c:ser>
        <c:overlap val="100"/>
        <c:axId val="1439061305"/>
        <c:axId val="1160607547"/>
      </c:barChart>
      <c:catAx>
        <c:axId val="14390613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160607547"/>
      </c:catAx>
      <c:valAx>
        <c:axId val="116060754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4390613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43434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9CB9C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9CB9C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9CB9C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DASHBOARD!$B$55:$B$64</c:f>
            </c:strRef>
          </c:cat>
          <c:val>
            <c:numRef>
              <c:f>DASHBOARD!$C$55:$C$64</c:f>
              <c:numCache/>
            </c:numRef>
          </c:val>
        </c:ser>
        <c:axId val="1785624322"/>
        <c:axId val="1365477144"/>
      </c:barChart>
      <c:catAx>
        <c:axId val="1785624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365477144"/>
      </c:catAx>
      <c:valAx>
        <c:axId val="1365477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85624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434343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cat>
            <c:strRef>
              <c:f>DASHBOARD!$D$55:$D$61</c:f>
            </c:strRef>
          </c:cat>
          <c:val>
            <c:numRef>
              <c:f>DASHBOARD!$E$55:$E$61</c:f>
              <c:numCache/>
            </c:numRef>
          </c:val>
        </c:ser>
        <c:axId val="1079349193"/>
        <c:axId val="1194607288"/>
      </c:areaChart>
      <c:catAx>
        <c:axId val="1079349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194607288"/>
      </c:catAx>
      <c:valAx>
        <c:axId val="119460728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793491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434343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F1C232"/>
              </a:solidFill>
            </c:spPr>
          </c:dPt>
          <c:dPt>
            <c:idx val="1"/>
            <c:explosion val="0"/>
            <c:spPr>
              <a:solidFill>
                <a:srgbClr val="E69138"/>
              </a:solidFill>
            </c:spPr>
          </c:dPt>
          <c:dPt>
            <c:idx val="2"/>
            <c:explosion val="0"/>
            <c:spPr>
              <a:solidFill>
                <a:srgbClr val="D92424"/>
              </a:solidFill>
            </c:spPr>
          </c:dPt>
          <c:dPt>
            <c:idx val="3"/>
            <c:explosion val="0"/>
            <c:spPr>
              <a:solidFill>
                <a:srgbClr val="6FA8DC"/>
              </a:solidFill>
            </c:spPr>
          </c:dPt>
          <c:dPt>
            <c:idx val="4"/>
            <c:spPr>
              <a:solidFill>
                <a:srgbClr val="0F45A8"/>
              </a:solidFill>
            </c:spPr>
          </c:dPt>
          <c:dPt>
            <c:idx val="5"/>
            <c:spPr>
              <a:solidFill>
                <a:srgbClr val="4CDC8B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DASHBOARD!$F$44:$F$49</c:f>
            </c:strRef>
          </c:cat>
          <c:val>
            <c:numRef>
              <c:f>DASHBOARD!$G$44:$G$49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7536729600694444"/>
          <c:y val="0.044117647058823525"/>
        </c:manualLayout>
      </c:layout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434343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FE2F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FC5E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3D85C6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3D85C6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DASHBOARD!$H$56:$H$66</c:f>
            </c:strRef>
          </c:cat>
          <c:val>
            <c:numRef>
              <c:f>DASHBOARD!$I$56:$I$66</c:f>
              <c:numCache/>
            </c:numRef>
          </c:val>
        </c:ser>
        <c:axId val="175709961"/>
        <c:axId val="359232330"/>
      </c:barChart>
      <c:catAx>
        <c:axId val="1757099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359232330"/>
      </c:catAx>
      <c:valAx>
        <c:axId val="3592323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57099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434343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Pt>
            <c:idx val="2"/>
            <c:spPr>
              <a:solidFill>
                <a:srgbClr val="FF6F31"/>
              </a:solidFill>
            </c:spPr>
          </c:dPt>
          <c:dPt>
            <c:idx val="3"/>
            <c:spPr>
              <a:solidFill>
                <a:srgbClr val="1C7685"/>
              </a:solidFill>
            </c:spPr>
          </c:dPt>
          <c:dPt>
            <c:idx val="4"/>
            <c:spPr>
              <a:solidFill>
                <a:srgbClr val="0F45A8"/>
              </a:solidFill>
            </c:spPr>
          </c:dPt>
          <c:dPt>
            <c:idx val="5"/>
            <c:spPr>
              <a:solidFill>
                <a:srgbClr val="4CDC8B"/>
              </a:solidFill>
            </c:spPr>
          </c:dPt>
          <c:dPt>
            <c:idx val="6"/>
            <c:spPr>
              <a:solidFill>
                <a:srgbClr val="8AB2C6"/>
              </a:solidFill>
            </c:spPr>
          </c:dPt>
          <c:dPt>
            <c:idx val="7"/>
            <c:spPr>
              <a:solidFill>
                <a:srgbClr val="4D7D90"/>
              </a:solidFill>
            </c:spPr>
          </c:dPt>
          <c:dPt>
            <c:idx val="8"/>
            <c:spPr>
              <a:solidFill>
                <a:srgbClr val="FF9A6F"/>
              </a:solidFill>
            </c:spPr>
          </c:dPt>
          <c:dPt>
            <c:idx val="9"/>
            <c:spPr>
              <a:solidFill>
                <a:srgbClr val="609FAA"/>
              </a:solidFill>
            </c:spPr>
          </c:dPt>
          <c:dPt>
            <c:idx val="10"/>
            <c:spPr>
              <a:solidFill>
                <a:srgbClr val="577DC2"/>
              </a:solidFill>
            </c:spPr>
          </c:dPt>
          <c:dPt>
            <c:idx val="11"/>
            <c:spPr>
              <a:solidFill>
                <a:srgbClr val="82E7AE"/>
              </a:solidFill>
            </c:spPr>
          </c:dPt>
          <c:dPt>
            <c:idx val="12"/>
            <c:spPr>
              <a:solidFill>
                <a:srgbClr val="BCD3DE"/>
              </a:solidFill>
            </c:spPr>
          </c:dPt>
          <c:dPt>
            <c:idx val="13"/>
            <c:spPr>
              <a:solidFill>
                <a:srgbClr val="99B5C0"/>
              </a:solidFill>
            </c:spPr>
          </c:dPt>
          <c:dPt>
            <c:idx val="14"/>
            <c:spPr>
              <a:solidFill>
                <a:srgbClr val="FFC5AD"/>
              </a:solidFill>
            </c:spPr>
          </c:dPt>
          <c:dPt>
            <c:idx val="15"/>
            <c:spPr>
              <a:solidFill>
                <a:srgbClr val="A4C8CE"/>
              </a:solidFill>
            </c:spPr>
          </c:dPt>
          <c:dPt>
            <c:idx val="16"/>
            <c:spPr>
              <a:solidFill>
                <a:srgbClr val="9FB5D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DASHBOARD!$J$63:$J$79</c:f>
            </c:strRef>
          </c:cat>
          <c:val>
            <c:numRef>
              <c:f>DASHBOARD!$K$63:$K$79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43434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4</xdr:row>
      <xdr:rowOff>0</xdr:rowOff>
    </xdr:from>
    <xdr:ext cx="5838825" cy="34575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200025</xdr:colOff>
      <xdr:row>4</xdr:row>
      <xdr:rowOff>0</xdr:rowOff>
    </xdr:from>
    <xdr:ext cx="6181725" cy="32289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257175</xdr:colOff>
      <xdr:row>20</xdr:row>
      <xdr:rowOff>171450</xdr:rowOff>
    </xdr:from>
    <xdr:ext cx="4105275" cy="36290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285750</xdr:colOff>
      <xdr:row>20</xdr:row>
      <xdr:rowOff>85725</xdr:rowOff>
    </xdr:from>
    <xdr:ext cx="6562725" cy="38290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266700</xdr:colOff>
      <xdr:row>43</xdr:row>
      <xdr:rowOff>38100</xdr:rowOff>
    </xdr:from>
    <xdr:ext cx="5838825" cy="36290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981075</xdr:colOff>
      <xdr:row>60</xdr:row>
      <xdr:rowOff>57150</xdr:rowOff>
    </xdr:from>
    <xdr:ext cx="5781675" cy="37623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276225</xdr:colOff>
      <xdr:row>43</xdr:row>
      <xdr:rowOff>38100</xdr:rowOff>
    </xdr:from>
    <xdr:ext cx="5715000" cy="34575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200025</xdr:colOff>
      <xdr:row>79</xdr:row>
      <xdr:rowOff>200025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200025</xdr:colOff>
      <xdr:row>60</xdr:row>
      <xdr:rowOff>142875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17" displayName="INGRESOS" name="INGRESOS" id="1">
  <tableColumns count="6">
    <tableColumn name="INGRESOS" id="1"/>
    <tableColumn name="CONCEPTO" id="2"/>
    <tableColumn name="ANTICIPO" id="3"/>
    <tableColumn name="RECIBIÓ ANTICIPO" id="4"/>
    <tableColumn name="LIQUIDACIÓN" id="5"/>
    <tableColumn name="RECIBIÓ LIQUIDACIÓN" id="6"/>
  </tableColumns>
  <tableStyleInfo name="MATRIZ-style" showColumnStripes="0" showFirstColumn="1" showLastColumn="1" showRowStripes="1"/>
</table>
</file>

<file path=xl/tables/table2.xml><?xml version="1.0" encoding="utf-8"?>
<table xmlns="http://schemas.openxmlformats.org/spreadsheetml/2006/main" ref="H3:J17" displayName="GASTOS" name="GASTOS" id="2">
  <tableColumns count="3">
    <tableColumn name="GASTOS" id="1"/>
    <tableColumn name="CONCEPTO" id="2"/>
    <tableColumn name="SOCIO" id="3"/>
  </tableColumns>
  <tableStyleInfo name="MATRIZ-style 2" showColumnStripes="0" showFirstColumn="1" showLastColumn="1" showRowStripes="1"/>
</table>
</file>

<file path=xl/tables/table3.xml><?xml version="1.0" encoding="utf-8"?>
<table xmlns="http://schemas.openxmlformats.org/spreadsheetml/2006/main" ref="L3:N53" displayName="SALARIOS" name="SALARIOS" id="3">
  <autoFilter ref="$L$3:$N$53"/>
  <tableColumns count="3">
    <tableColumn name="Salario" id="1"/>
    <tableColumn name="Concepto" id="2"/>
    <tableColumn name="Trabajador" id="3"/>
  </tableColumns>
  <tableStyleInfo name="MATRIZ-style 3" showColumnStripes="0" showFirstColumn="1" showLastColumn="1" showRowStripes="1"/>
</table>
</file>

<file path=xl/tables/table4.xml><?xml version="1.0" encoding="utf-8"?>
<table xmlns="http://schemas.openxmlformats.org/spreadsheetml/2006/main" ref="A1:N282" displayName="Tabla_1" name="Tabla_1" id="4">
  <autoFilter ref="$A$1:$N$282"/>
  <tableColumns count="14">
    <tableColumn name="00000000000000000003" id="1"/>
    <tableColumn name="SERVICIO" id="2"/>
    <tableColumn name="FECHA" id="3"/>
    <tableColumn name="DESCRIPCIÓN" id="4"/>
    <tableColumn name="PRECIO" id="5"/>
    <tableColumn name="AUMENTO" id="6"/>
    <tableColumn name="DESCUENTO" id="7"/>
    <tableColumn name="ANTICIPO" id="8"/>
    <tableColumn name="RECIBIÓ ANTICIPO" id="9"/>
    <tableColumn name="LIQUIDACIÓN" id="10"/>
    <tableColumn name="RECIBIÓ" id="11"/>
    <tableColumn name="MONTO" id="12"/>
    <tableColumn name="Mes" id="13"/>
    <tableColumn name="Año" id="14"/>
  </tableColumns>
  <tableStyleInfo name="INGRESOS-style" showColumnStripes="0" showFirstColumn="1" showLastColumn="1" showRowStripes="1"/>
</table>
</file>

<file path=xl/tables/table5.xml><?xml version="1.0" encoding="utf-8"?>
<table xmlns="http://schemas.openxmlformats.org/spreadsheetml/2006/main" ref="A1:J732" displayName="Tabla_2" name="Tabla_2" id="5">
  <autoFilter ref="$A$1:$J$732"/>
  <tableColumns count="10">
    <tableColumn name="Fecha" id="1"/>
    <tableColumn name="Trabajador" id="2"/>
    <tableColumn name="Servicio" id="3"/>
    <tableColumn name="descripción" id="4"/>
    <tableColumn name="Monto" id="5"/>
    <tableColumn name="Descuento" id="6"/>
    <tableColumn name="Aumento" id="7"/>
    <tableColumn name="Total" id="8"/>
    <tableColumn name="Mes" id="9"/>
    <tableColumn name="Año" id="10"/>
  </tableColumns>
  <tableStyleInfo name="SALARIOS-style" showColumnStripes="0" showFirstColumn="1" showLastColumn="1" showRowStripes="1"/>
</table>
</file>

<file path=xl/tables/table6.xml><?xml version="1.0" encoding="utf-8"?>
<table xmlns="http://schemas.openxmlformats.org/spreadsheetml/2006/main" ref="A1:G175" displayName="Tabla_3" name="Tabla_3" id="6">
  <autoFilter ref="$A$1:$G$175"/>
  <tableColumns count="7">
    <tableColumn name="FECHA" id="1"/>
    <tableColumn name="CONCEPTO" id="2"/>
    <tableColumn name="MONTO" id="3"/>
    <tableColumn name="SOCIO" id="4"/>
    <tableColumn name="Mes" id="5"/>
    <tableColumn name="Año" id="6"/>
    <tableColumn name="Columna 1" id="7"/>
  </tableColumns>
  <tableStyleInfo name="GASTOS-style" showColumnStripes="0" showFirstColumn="1" showLastColumn="1" showRowStripes="1"/>
</table>
</file>

<file path=xl/tables/table7.xml><?xml version="1.0" encoding="utf-8"?>
<table xmlns="http://schemas.openxmlformats.org/spreadsheetml/2006/main" ref="A3:F16" displayName="INGRESOS_2" name="INGRESOS_2" id="7">
  <tableColumns count="6">
    <tableColumn name="INGRESOS" id="1"/>
    <tableColumn name="CONCEPTO" id="2"/>
    <tableColumn name="ANTICIPO" id="3"/>
    <tableColumn name="RECIBIÓ ANTICIPO" id="4"/>
    <tableColumn name="LIQUIDACIÓN" id="5"/>
    <tableColumn name="RECIBIÓ LIQUIDACIÓN" id="6"/>
  </tableColumns>
  <tableStyleInfo name="Matriz antes-style" showColumnStripes="0" showFirstColumn="1" showLastColumn="1" showRowStripes="1"/>
</table>
</file>

<file path=xl/tables/table8.xml><?xml version="1.0" encoding="utf-8"?>
<table xmlns="http://schemas.openxmlformats.org/spreadsheetml/2006/main" ref="H3:J16" displayName="GASTOS_2" name="GASTOS_2" id="8">
  <tableColumns count="3">
    <tableColumn name="GASTOS" id="1"/>
    <tableColumn name="CONCEPTO" id="2"/>
    <tableColumn name="SOCIO" id="3"/>
  </tableColumns>
  <tableStyleInfo name="Matriz antes-style 2" showColumnStripes="0" showFirstColumn="1" showLastColumn="1" showRowStripes="1"/>
</table>
</file>

<file path=xl/tables/table9.xml><?xml version="1.0" encoding="utf-8"?>
<table xmlns="http://schemas.openxmlformats.org/spreadsheetml/2006/main" ref="L3:N53" displayName="SALARIOS_2" name="SALARIOS_2" id="9">
  <autoFilter ref="$L$3:$N$53"/>
  <tableColumns count="3">
    <tableColumn name="Salario" id="1"/>
    <tableColumn name="Concepto" id="2"/>
    <tableColumn name="Trabajador" id="3"/>
  </tableColumns>
  <tableStyleInfo name="Matriz ante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16.13"/>
    <col customWidth="1" min="3" max="3" width="17.25"/>
    <col customWidth="1" min="4" max="4" width="14.13"/>
    <col customWidth="1" min="5" max="5" width="13.38"/>
    <col customWidth="1" min="6" max="6" width="13.13"/>
    <col customWidth="1" min="7" max="7" width="11.5"/>
    <col customWidth="1" min="8" max="8" width="11.75"/>
    <col customWidth="1" min="9" max="9" width="17.63"/>
    <col customWidth="1" min="10" max="10" width="12.75"/>
    <col customWidth="1" min="11" max="11" width="8.63"/>
    <col customWidth="1" min="12" max="12" width="24.88"/>
  </cols>
  <sheetData>
    <row r="1">
      <c r="A1" s="1">
        <v>0.0</v>
      </c>
      <c r="B1" s="1" t="s">
        <v>0</v>
      </c>
      <c r="C1" s="2">
        <v>2026.0</v>
      </c>
      <c r="D1" s="1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/>
      <c r="B2" s="6"/>
      <c r="C2" s="6"/>
      <c r="D2" s="7"/>
      <c r="E2" s="7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5"/>
      <c r="B3" s="8" t="s">
        <v>1</v>
      </c>
      <c r="C3" s="9"/>
      <c r="D3" s="8" t="s">
        <v>2</v>
      </c>
      <c r="E3" s="9"/>
      <c r="F3" s="8" t="s">
        <v>3</v>
      </c>
      <c r="G3" s="9"/>
      <c r="H3" s="10" t="s">
        <v>4</v>
      </c>
      <c r="I3" s="11"/>
      <c r="J3" s="12" t="s">
        <v>5</v>
      </c>
      <c r="K3" s="9"/>
      <c r="L3" s="13" t="s">
        <v>6</v>
      </c>
      <c r="M3" s="4"/>
      <c r="N3" s="4"/>
      <c r="O3" s="4"/>
      <c r="P3" s="4"/>
      <c r="Q3" s="4"/>
      <c r="R3" s="4"/>
      <c r="S3" s="4"/>
      <c r="T3" s="4"/>
    </row>
    <row r="4" ht="24.0" customHeight="1">
      <c r="A4" s="14"/>
      <c r="B4" s="15">
        <f>SUM(C6:C17)</f>
        <v>153724</v>
      </c>
      <c r="C4" s="16"/>
      <c r="D4" s="15">
        <f>SUM(D6:E17)</f>
        <v>91519</v>
      </c>
      <c r="E4" s="16"/>
      <c r="F4" s="17">
        <f>SUM(D6:D17)</f>
        <v>48011</v>
      </c>
      <c r="G4" s="16"/>
      <c r="H4" s="18">
        <f>SUM(E6:E17)</f>
        <v>43508</v>
      </c>
      <c r="I4" s="16"/>
      <c r="J4" s="19">
        <f>(B4-D4)/B4</f>
        <v>0.4046537951</v>
      </c>
      <c r="K4" s="16"/>
      <c r="L4" s="20">
        <f>B4-D4</f>
        <v>62205</v>
      </c>
      <c r="M4" s="4"/>
      <c r="N4" s="4"/>
      <c r="O4" s="4"/>
      <c r="P4" s="4"/>
      <c r="Q4" s="4"/>
      <c r="R4" s="4"/>
      <c r="S4" s="4"/>
      <c r="T4" s="4"/>
    </row>
    <row r="5">
      <c r="A5" s="21"/>
      <c r="B5" s="21" t="s">
        <v>7</v>
      </c>
      <c r="C5" s="21" t="s">
        <v>8</v>
      </c>
      <c r="D5" s="21" t="s">
        <v>9</v>
      </c>
      <c r="E5" s="21" t="s">
        <v>10</v>
      </c>
      <c r="F5" s="22" t="s">
        <v>11</v>
      </c>
      <c r="G5" s="22" t="s">
        <v>12</v>
      </c>
      <c r="H5" s="22" t="s">
        <v>13</v>
      </c>
      <c r="I5" s="22" t="s">
        <v>14</v>
      </c>
      <c r="J5" s="22" t="s">
        <v>15</v>
      </c>
      <c r="K5" s="22" t="s">
        <v>16</v>
      </c>
      <c r="L5" s="4"/>
      <c r="M5" s="4"/>
      <c r="N5" s="4"/>
      <c r="O5" s="4"/>
      <c r="P5" s="4"/>
      <c r="Q5" s="4"/>
      <c r="R5" s="4"/>
      <c r="S5" s="4"/>
      <c r="T5" s="4"/>
    </row>
    <row r="6">
      <c r="A6" s="21"/>
      <c r="B6" s="21" t="s">
        <v>17</v>
      </c>
      <c r="C6" s="23">
        <f>SUMIFS(INGRESOS!L:L,INGRESOS!M:M,$B6,INGRESOS!N:N,$C$1)</f>
        <v>55234</v>
      </c>
      <c r="D6" s="23">
        <f>SUMIFS(GASTOS!C:C,GASTOS!E:E,$B6,GASTOS!F:F,$C$1)</f>
        <v>31421</v>
      </c>
      <c r="E6" s="23">
        <f>SUMIFS(SALARIOS!H:H,SALARIOS!I:I,$B6,SALARIOS!J:J,$C$1)</f>
        <v>17308</v>
      </c>
      <c r="F6" s="24">
        <f t="shared" ref="F6:F17" si="1">IFERROR((C6-D6-E6)/C6,0)</f>
        <v>0.1177716624</v>
      </c>
      <c r="G6" s="25">
        <f t="shared" ref="G6:G17" si="2">C6-D6-E6</f>
        <v>6505</v>
      </c>
      <c r="H6" s="26">
        <f>SUMIFS(INGRESOS!L:L,INGRESOS!M:M,$B6,INGRESOS!N:N,$C$1,INGRESOS!B:B,"Toro")</f>
        <v>22784</v>
      </c>
      <c r="I6" s="26">
        <f>SUMIFS(INGRESOS!L:L,INGRESOS!M:M,$B6,INGRESOS!N:N,$C$1,INGRESOS!B:B,"Inflable")</f>
        <v>16450</v>
      </c>
      <c r="J6" s="26">
        <f>SUMIFS(INGRESOS!L:L,INGRESOS!M:M,$B6,INGRESOS!N:N,$C$1,INGRESOS!B:B,"Sonido")</f>
        <v>16000</v>
      </c>
      <c r="K6" s="26">
        <f>SUMIFS(INGRESOS!L:L,INGRESOS!M:M,$B6,INGRESOS!N:N,$C$1,INGRESOS!B:B,"Pista")</f>
        <v>0</v>
      </c>
      <c r="L6" s="4"/>
      <c r="M6" s="4"/>
      <c r="N6" s="4"/>
      <c r="O6" s="4"/>
      <c r="P6" s="4"/>
      <c r="Q6" s="4"/>
      <c r="R6" s="4"/>
      <c r="S6" s="4"/>
      <c r="T6" s="4"/>
    </row>
    <row r="7">
      <c r="A7" s="21"/>
      <c r="B7" s="21" t="s">
        <v>18</v>
      </c>
      <c r="C7" s="23">
        <f>SUMIFS(INGRESOS!L:L,INGRESOS!M:M,$B7,INGRESOS!N:N,$C$1)</f>
        <v>95240</v>
      </c>
      <c r="D7" s="23">
        <f>SUMIFS(GASTOS!C:C,GASTOS!E:E,$B7,GASTOS!F:F,$C$1)</f>
        <v>13419</v>
      </c>
      <c r="E7" s="23">
        <f>SUMIFS(SALARIOS!H:H,SALARIOS!I:I,$B7,SALARIOS!J:J,$C$1)</f>
        <v>25250</v>
      </c>
      <c r="F7" s="24">
        <f t="shared" si="1"/>
        <v>0.5939836203</v>
      </c>
      <c r="G7" s="25">
        <f t="shared" si="2"/>
        <v>56571</v>
      </c>
      <c r="H7" s="26">
        <f>SUMIFS(INGRESOS!L:L,INGRESOS!M:M,$B7,INGRESOS!N:N,$C$1,INGRESOS!B:B,"Toro")</f>
        <v>33650</v>
      </c>
      <c r="I7" s="26">
        <f>SUMIFS(INGRESOS!L:L,INGRESOS!M:M,$B7,INGRESOS!N:N,$C$1,INGRESOS!B:B,"Inflable")</f>
        <v>19250</v>
      </c>
      <c r="J7" s="26">
        <f>SUMIFS(INGRESOS!L:L,INGRESOS!M:M,$B7,INGRESOS!N:N,$C$1,INGRESOS!B:B,"Sonido")</f>
        <v>34840</v>
      </c>
      <c r="K7" s="26">
        <f>SUMIFS(INGRESOS!L:L,INGRESOS!M:M,$B7,INGRESOS!N:N,$C$1,INGRESOS!B:B,"Pista")</f>
        <v>7500</v>
      </c>
      <c r="L7" s="4"/>
      <c r="M7" s="4"/>
      <c r="N7" s="4"/>
      <c r="O7" s="4"/>
      <c r="P7" s="4"/>
      <c r="Q7" s="4"/>
      <c r="R7" s="4"/>
      <c r="S7" s="4"/>
      <c r="T7" s="4"/>
    </row>
    <row r="8">
      <c r="A8" s="21"/>
      <c r="B8" s="21" t="s">
        <v>19</v>
      </c>
      <c r="C8" s="23">
        <f>SUMIFS(INGRESOS!L:L,INGRESOS!M:M,$B8,INGRESOS!N:N,$C$1)</f>
        <v>3250</v>
      </c>
      <c r="D8" s="23">
        <f>SUMIFS(GASTOS!C:C,GASTOS!E:E,$B8,GASTOS!F:F,$C$1)</f>
        <v>3171</v>
      </c>
      <c r="E8" s="23">
        <f>SUMIFS(SALARIOS!H:H,SALARIOS!I:I,$B8,SALARIOS!J:J,$C$1)</f>
        <v>950</v>
      </c>
      <c r="F8" s="24">
        <f t="shared" si="1"/>
        <v>-0.268</v>
      </c>
      <c r="G8" s="25">
        <f t="shared" si="2"/>
        <v>-871</v>
      </c>
      <c r="H8" s="26">
        <f>SUMIFS(INGRESOS!L:L,INGRESOS!M:M,$B8,INGRESOS!N:N,$C$1,INGRESOS!B:B,"Toro")</f>
        <v>2200</v>
      </c>
      <c r="I8" s="26">
        <f>SUMIFS(INGRESOS!L:L,INGRESOS!M:M,$B8,INGRESOS!N:N,$C$1,INGRESOS!B:B,"Inflable")</f>
        <v>1050</v>
      </c>
      <c r="J8" s="26">
        <f>SUMIFS(INGRESOS!L:L,INGRESOS!M:M,$B8,INGRESOS!N:N,$C$1,INGRESOS!B:B,"Sonido")</f>
        <v>0</v>
      </c>
      <c r="K8" s="26">
        <f>SUMIFS(INGRESOS!L:L,INGRESOS!M:M,$B8,INGRESOS!N:N,$C$1,INGRESOS!B:B,"Pista")</f>
        <v>0</v>
      </c>
      <c r="L8" s="4"/>
      <c r="M8" s="4"/>
      <c r="N8" s="4"/>
      <c r="O8" s="4"/>
      <c r="P8" s="4"/>
      <c r="Q8" s="4"/>
      <c r="R8" s="4"/>
      <c r="S8" s="4"/>
      <c r="T8" s="4"/>
    </row>
    <row r="9">
      <c r="A9" s="21"/>
      <c r="B9" s="21" t="s">
        <v>20</v>
      </c>
      <c r="C9" s="23">
        <f>SUMIFS(INGRESOS!L:L,INGRESOS!M:M,$B9,INGRESOS!N:N,$C$1)</f>
        <v>0</v>
      </c>
      <c r="D9" s="23">
        <f>SUMIFS(GASTOS!C:C,GASTOS!E:E,$B9,GASTOS!F:F,$C$1)</f>
        <v>0</v>
      </c>
      <c r="E9" s="23">
        <f>SUMIFS(SALARIOS!H:H,SALARIOS!I:I,$B9,SALARIOS!J:J,$C$1)</f>
        <v>0</v>
      </c>
      <c r="F9" s="24">
        <f t="shared" si="1"/>
        <v>0</v>
      </c>
      <c r="G9" s="25">
        <f t="shared" si="2"/>
        <v>0</v>
      </c>
      <c r="H9" s="26">
        <f>SUMIFS(INGRESOS!L:L,INGRESOS!M:M,$B9,INGRESOS!N:N,$C$1,INGRESOS!B:B,"Toro")</f>
        <v>0</v>
      </c>
      <c r="I9" s="26">
        <f>SUMIFS(INGRESOS!L:L,INGRESOS!M:M,$B9,INGRESOS!N:N,$C$1,INGRESOS!B:B,"Inflable")</f>
        <v>0</v>
      </c>
      <c r="J9" s="26">
        <f>SUMIFS(INGRESOS!L:L,INGRESOS!M:M,$B9,INGRESOS!N:N,$C$1,INGRESOS!B:B,"Sonido")</f>
        <v>0</v>
      </c>
      <c r="K9" s="26">
        <f>SUMIFS(INGRESOS!L:L,INGRESOS!M:M,$B9,INGRESOS!N:N,$C$1,INGRESOS!B:B,"Pista")</f>
        <v>0</v>
      </c>
      <c r="L9" s="4"/>
      <c r="M9" s="4"/>
      <c r="N9" s="4"/>
      <c r="O9" s="4"/>
      <c r="P9" s="4"/>
      <c r="Q9" s="4"/>
      <c r="R9" s="4"/>
      <c r="S9" s="4"/>
      <c r="T9" s="4"/>
    </row>
    <row r="10">
      <c r="A10" s="21"/>
      <c r="B10" s="21" t="s">
        <v>21</v>
      </c>
      <c r="C10" s="23">
        <f>SUMIFS(INGRESOS!L:L,INGRESOS!M:M,$B10,INGRESOS!N:N,$C$1)</f>
        <v>0</v>
      </c>
      <c r="D10" s="23">
        <f>SUMIFS(GASTOS!C:C,GASTOS!E:E,$B10,GASTOS!F:F,$C$1)</f>
        <v>0</v>
      </c>
      <c r="E10" s="23">
        <f>SUMIFS(SALARIOS!H:H,SALARIOS!I:I,$B10,SALARIOS!J:J,$C$1)</f>
        <v>0</v>
      </c>
      <c r="F10" s="24">
        <f t="shared" si="1"/>
        <v>0</v>
      </c>
      <c r="G10" s="25">
        <f t="shared" si="2"/>
        <v>0</v>
      </c>
      <c r="H10" s="26">
        <f>SUMIFS(INGRESOS!L:L,INGRESOS!M:M,$B10,INGRESOS!N:N,$C$1,INGRESOS!B:B,"Toro")</f>
        <v>0</v>
      </c>
      <c r="I10" s="26">
        <f>SUMIFS(INGRESOS!L:L,INGRESOS!M:M,$B10,INGRESOS!N:N,$C$1,INGRESOS!B:B,"Inflable")</f>
        <v>0</v>
      </c>
      <c r="J10" s="26">
        <f>SUMIFS(INGRESOS!L:L,INGRESOS!M:M,$B10,INGRESOS!N:N,$C$1,INGRESOS!B:B,"Sonido")</f>
        <v>0</v>
      </c>
      <c r="K10" s="26">
        <f>SUMIFS(INGRESOS!L:L,INGRESOS!M:M,$B10,INGRESOS!N:N,$C$1,INGRESOS!B:B,"Pista")</f>
        <v>0</v>
      </c>
      <c r="L10" s="4"/>
      <c r="M10" s="4"/>
      <c r="N10" s="4"/>
      <c r="O10" s="4"/>
      <c r="P10" s="4"/>
      <c r="Q10" s="4"/>
      <c r="R10" s="4"/>
      <c r="S10" s="4"/>
      <c r="T10" s="4"/>
    </row>
    <row r="11">
      <c r="A11" s="21"/>
      <c r="B11" s="21" t="s">
        <v>22</v>
      </c>
      <c r="C11" s="23">
        <f>SUMIFS(INGRESOS!L:L,INGRESOS!M:M,$B11,INGRESOS!N:N,$C$1)</f>
        <v>0</v>
      </c>
      <c r="D11" s="23">
        <f>SUMIFS(GASTOS!C:C,GASTOS!E:E,$B11,GASTOS!F:F,$C$1)</f>
        <v>0</v>
      </c>
      <c r="E11" s="23">
        <f>SUMIFS(SALARIOS!H:H,SALARIOS!I:I,$B11,SALARIOS!J:J,$C$1)</f>
        <v>0</v>
      </c>
      <c r="F11" s="24">
        <f t="shared" si="1"/>
        <v>0</v>
      </c>
      <c r="G11" s="25">
        <f t="shared" si="2"/>
        <v>0</v>
      </c>
      <c r="H11" s="26">
        <f>SUMIFS(INGRESOS!L:L,INGRESOS!M:M,$B11,INGRESOS!N:N,$C$1,INGRESOS!B:B,"Toro")</f>
        <v>0</v>
      </c>
      <c r="I11" s="26">
        <f>SUMIFS(INGRESOS!L:L,INGRESOS!M:M,$B11,INGRESOS!N:N,$C$1,INGRESOS!B:B,"Inflable")</f>
        <v>0</v>
      </c>
      <c r="J11" s="26">
        <f>SUMIFS(INGRESOS!L:L,INGRESOS!M:M,$B11,INGRESOS!N:N,$C$1,INGRESOS!B:B,"Sonido")</f>
        <v>0</v>
      </c>
      <c r="K11" s="26">
        <f>SUMIFS(INGRESOS!L:L,INGRESOS!M:M,$B11,INGRESOS!N:N,$C$1,INGRESOS!B:B,"Pista")</f>
        <v>0</v>
      </c>
      <c r="L11" s="4"/>
      <c r="M11" s="4"/>
      <c r="N11" s="4"/>
      <c r="O11" s="4"/>
      <c r="P11" s="4"/>
      <c r="Q11" s="4"/>
      <c r="R11" s="4"/>
      <c r="S11" s="4"/>
      <c r="T11" s="4"/>
    </row>
    <row r="12">
      <c r="A12" s="21"/>
      <c r="B12" s="21" t="s">
        <v>23</v>
      </c>
      <c r="C12" s="23">
        <f>SUMIFS(INGRESOS!L:L,INGRESOS!M:M,$B12,INGRESOS!N:N,$C$1)</f>
        <v>0</v>
      </c>
      <c r="D12" s="23">
        <f>SUMIFS(GASTOS!C:C,GASTOS!E:E,$B12,GASTOS!F:F,$C$1)</f>
        <v>0</v>
      </c>
      <c r="E12" s="23">
        <f>SUMIFS(SALARIOS!H:H,SALARIOS!I:I,$B12,SALARIOS!J:J,$C$1)</f>
        <v>0</v>
      </c>
      <c r="F12" s="24">
        <f t="shared" si="1"/>
        <v>0</v>
      </c>
      <c r="G12" s="25">
        <f t="shared" si="2"/>
        <v>0</v>
      </c>
      <c r="H12" s="26">
        <f>SUMIFS(INGRESOS!L:L,INGRESOS!M:M,$B12,INGRESOS!N:N,$C$1,INGRESOS!B:B,"Toro")</f>
        <v>0</v>
      </c>
      <c r="I12" s="26">
        <f>SUMIFS(INGRESOS!L:L,INGRESOS!M:M,$B12,INGRESOS!N:N,$C$1,INGRESOS!B:B,"Inflable")</f>
        <v>0</v>
      </c>
      <c r="J12" s="26">
        <f>SUMIFS(INGRESOS!L:L,INGRESOS!M:M,$B12,INGRESOS!N:N,$C$1,INGRESOS!B:B,"Sonido")</f>
        <v>0</v>
      </c>
      <c r="K12" s="26">
        <f>SUMIFS(INGRESOS!L:L,INGRESOS!M:M,$B12,INGRESOS!N:N,$C$1,INGRESOS!B:B,"Pista")</f>
        <v>0</v>
      </c>
      <c r="L12" s="4"/>
      <c r="M12" s="4"/>
      <c r="N12" s="4"/>
      <c r="O12" s="4"/>
      <c r="P12" s="4"/>
      <c r="Q12" s="4"/>
      <c r="R12" s="4"/>
      <c r="S12" s="4"/>
      <c r="T12" s="4"/>
    </row>
    <row r="13">
      <c r="A13" s="21"/>
      <c r="B13" s="21" t="s">
        <v>24</v>
      </c>
      <c r="C13" s="23">
        <f>SUMIFS(INGRESOS!L:L,INGRESOS!M:M,$B13,INGRESOS!N:N,$C$1)</f>
        <v>0</v>
      </c>
      <c r="D13" s="23">
        <f>SUMIFS(GASTOS!C:C,GASTOS!E:E,$B13,GASTOS!F:F,$C$1)</f>
        <v>0</v>
      </c>
      <c r="E13" s="23">
        <f>SUMIFS(SALARIOS!H:H,SALARIOS!I:I,$B13,SALARIOS!J:J,$C$1)</f>
        <v>0</v>
      </c>
      <c r="F13" s="24">
        <f t="shared" si="1"/>
        <v>0</v>
      </c>
      <c r="G13" s="25">
        <f t="shared" si="2"/>
        <v>0</v>
      </c>
      <c r="H13" s="26">
        <f>SUMIFS(INGRESOS!L:L,INGRESOS!M:M,$B13,INGRESOS!N:N,$C$1,INGRESOS!B:B,"Toro")</f>
        <v>0</v>
      </c>
      <c r="I13" s="26">
        <f>SUMIFS(INGRESOS!L:L,INGRESOS!M:M,$B13,INGRESOS!N:N,$C$1,INGRESOS!B:B,"Inflable")</f>
        <v>0</v>
      </c>
      <c r="J13" s="26">
        <f>SUMIFS(INGRESOS!L:L,INGRESOS!M:M,$B13,INGRESOS!N:N,$C$1,INGRESOS!B:B,"Sonido")</f>
        <v>0</v>
      </c>
      <c r="K13" s="26">
        <f>SUMIFS(INGRESOS!L:L,INGRESOS!M:M,$B13,INGRESOS!N:N,$C$1,INGRESOS!B:B,"Pista")</f>
        <v>0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21"/>
      <c r="B14" s="21" t="s">
        <v>25</v>
      </c>
      <c r="C14" s="23">
        <f>SUMIFS(INGRESOS!L:L,INGRESOS!M:M,$B14,INGRESOS!N:N,$C$1)</f>
        <v>0</v>
      </c>
      <c r="D14" s="23">
        <f>SUMIFS(GASTOS!C:C,GASTOS!E:E,$B14,GASTOS!F:F,$C$1)</f>
        <v>0</v>
      </c>
      <c r="E14" s="23">
        <f>SUMIFS(SALARIOS!H:H,SALARIOS!I:I,$B14,SALARIOS!J:J,$C$1)</f>
        <v>0</v>
      </c>
      <c r="F14" s="24">
        <f t="shared" si="1"/>
        <v>0</v>
      </c>
      <c r="G14" s="25">
        <f t="shared" si="2"/>
        <v>0</v>
      </c>
      <c r="H14" s="26">
        <f>SUMIFS(INGRESOS!L:L,INGRESOS!M:M,$B14,INGRESOS!N:N,$C$1,INGRESOS!B:B,"Toro")</f>
        <v>0</v>
      </c>
      <c r="I14" s="26">
        <f>SUMIFS(INGRESOS!L:L,INGRESOS!M:M,$B14,INGRESOS!N:N,$C$1,INGRESOS!B:B,"Inflable")</f>
        <v>0</v>
      </c>
      <c r="J14" s="26">
        <f>SUMIFS(INGRESOS!L:L,INGRESOS!M:M,$B14,INGRESOS!N:N,$C$1,INGRESOS!B:B,"Sonido")</f>
        <v>0</v>
      </c>
      <c r="K14" s="26">
        <f>SUMIFS(INGRESOS!L:L,INGRESOS!M:M,$B14,INGRESOS!N:N,$C$1,INGRESOS!B:B,"Pista")</f>
        <v>0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21"/>
      <c r="B15" s="21" t="s">
        <v>26</v>
      </c>
      <c r="C15" s="23">
        <f>SUMIFS(INGRESOS!L:L,INGRESOS!M:M,$B15,INGRESOS!N:N,$C$1)</f>
        <v>0</v>
      </c>
      <c r="D15" s="23">
        <f>SUMIFS(GASTOS!C:C,GASTOS!E:E,$B15,GASTOS!F:F,$C$1)</f>
        <v>0</v>
      </c>
      <c r="E15" s="23">
        <f>SUMIFS(SALARIOS!H:H,SALARIOS!I:I,$B15,SALARIOS!J:J,$C$1)</f>
        <v>0</v>
      </c>
      <c r="F15" s="24">
        <f t="shared" si="1"/>
        <v>0</v>
      </c>
      <c r="G15" s="25">
        <f t="shared" si="2"/>
        <v>0</v>
      </c>
      <c r="H15" s="26">
        <f>SUMIFS(INGRESOS!L:L,INGRESOS!M:M,$B15,INGRESOS!N:N,$C$1,INGRESOS!B:B,"Toro")</f>
        <v>0</v>
      </c>
      <c r="I15" s="26">
        <f>SUMIFS(INGRESOS!L:L,INGRESOS!M:M,$B15,INGRESOS!N:N,$C$1,INGRESOS!B:B,"Inflable")</f>
        <v>0</v>
      </c>
      <c r="J15" s="26">
        <f>SUMIFS(INGRESOS!L:L,INGRESOS!M:M,$B15,INGRESOS!N:N,$C$1,INGRESOS!B:B,"Sonido")</f>
        <v>0</v>
      </c>
      <c r="K15" s="26">
        <f>SUMIFS(INGRESOS!L:L,INGRESOS!M:M,$B15,INGRESOS!N:N,$C$1,INGRESOS!B:B,"Pista")</f>
        <v>0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21"/>
      <c r="B16" s="21" t="s">
        <v>27</v>
      </c>
      <c r="C16" s="23">
        <f>SUMIFS(INGRESOS!L:L,INGRESOS!M:M,$B16,INGRESOS!N:N,$C$1)</f>
        <v>0</v>
      </c>
      <c r="D16" s="23">
        <f>SUMIFS(GASTOS!C:C,GASTOS!E:E,$B16,GASTOS!F:F,$C$1)</f>
        <v>0</v>
      </c>
      <c r="E16" s="23">
        <f>SUMIFS(SALARIOS!H:H,SALARIOS!I:I,$B16,SALARIOS!J:J,$C$1)</f>
        <v>0</v>
      </c>
      <c r="F16" s="24">
        <f t="shared" si="1"/>
        <v>0</v>
      </c>
      <c r="G16" s="25">
        <f t="shared" si="2"/>
        <v>0</v>
      </c>
      <c r="H16" s="26">
        <f>SUMIFS(INGRESOS!L:L,INGRESOS!M:M,$B16,INGRESOS!N:N,$C$1,INGRESOS!B:B,"Toro")</f>
        <v>0</v>
      </c>
      <c r="I16" s="26">
        <f>SUMIFS(INGRESOS!L:L,INGRESOS!M:M,$B16,INGRESOS!N:N,$C$1,INGRESOS!B:B,"Inflable")</f>
        <v>0</v>
      </c>
      <c r="J16" s="26">
        <f>SUMIFS(INGRESOS!L:L,INGRESOS!M:M,$B16,INGRESOS!N:N,$C$1,INGRESOS!B:B,"Sonido")</f>
        <v>0</v>
      </c>
      <c r="K16" s="26">
        <f>SUMIFS(INGRESOS!L:L,INGRESOS!M:M,$B16,INGRESOS!N:N,$C$1,INGRESOS!B:B,"Pista")</f>
        <v>0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21"/>
      <c r="B17" s="21" t="s">
        <v>28</v>
      </c>
      <c r="C17" s="23">
        <f>SUMIFS(INGRESOS!L:L,INGRESOS!M:M,$B17,INGRESOS!N:N,$C$1)</f>
        <v>0</v>
      </c>
      <c r="D17" s="23">
        <f>SUMIFS(GASTOS!C:C,GASTOS!E:E,$B17,GASTOS!F:F,$C$1)</f>
        <v>0</v>
      </c>
      <c r="E17" s="23">
        <f>SUMIFS(SALARIOS!H:H,SALARIOS!I:I,$B17,SALARIOS!J:J,$C$1)</f>
        <v>0</v>
      </c>
      <c r="F17" s="24">
        <f t="shared" si="1"/>
        <v>0</v>
      </c>
      <c r="G17" s="25">
        <f t="shared" si="2"/>
        <v>0</v>
      </c>
      <c r="H17" s="26">
        <f>SUMIFS(INGRESOS!L:L,INGRESOS!M:M,$B17,INGRESOS!N:N,$C$1,INGRESOS!B:B,"Toro")</f>
        <v>0</v>
      </c>
      <c r="I17" s="26">
        <f>SUMIFS(INGRESOS!L:L,INGRESOS!M:M,$B17,INGRESOS!N:N,$C$1,INGRESOS!B:B,"Inflable")</f>
        <v>0</v>
      </c>
      <c r="J17" s="26">
        <f>SUMIFS(INGRESOS!L:L,INGRESOS!M:M,$B17,INGRESOS!N:N,$C$1,INGRESOS!B:B,"Sonido")</f>
        <v>0</v>
      </c>
      <c r="K17" s="26">
        <f>SUMIFS(INGRESOS!L:L,INGRESOS!M:M,$B17,INGRESOS!N:N,$C$1,INGRESOS!B:B,"Pista")</f>
        <v>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3"/>
      <c r="B18" s="3"/>
      <c r="C18" s="3"/>
      <c r="D18" s="3"/>
      <c r="E18" s="3"/>
      <c r="F18" s="3"/>
      <c r="G18" s="3"/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21"/>
      <c r="B19" s="21" t="s">
        <v>29</v>
      </c>
      <c r="C19" s="21" t="s">
        <v>30</v>
      </c>
      <c r="D19" s="3"/>
      <c r="E19" s="3"/>
      <c r="F19" s="3"/>
      <c r="G19" s="3"/>
      <c r="H19" s="3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>
      <c r="A20" s="21"/>
      <c r="B20" s="21" t="s">
        <v>9</v>
      </c>
      <c r="C20" s="23">
        <f>SUM(D6:D17)</f>
        <v>48011</v>
      </c>
      <c r="D20" s="3"/>
      <c r="E20" s="3"/>
      <c r="F20" s="3"/>
      <c r="G20" s="3"/>
      <c r="H20" s="3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>
      <c r="A21" s="21"/>
      <c r="B21" s="21" t="s">
        <v>10</v>
      </c>
      <c r="C21" s="23">
        <f>SUM(E6:E17)</f>
        <v>43508</v>
      </c>
      <c r="D21" s="3"/>
      <c r="E21" s="3"/>
      <c r="F21" s="3"/>
      <c r="G21" s="3"/>
      <c r="H21" s="3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21"/>
      <c r="B22" s="21" t="s">
        <v>31</v>
      </c>
      <c r="C22" s="23">
        <f>SUM(G6:G17)</f>
        <v>62205</v>
      </c>
      <c r="D22" s="3"/>
      <c r="E22" s="3"/>
      <c r="F22" s="3"/>
      <c r="G22" s="3"/>
      <c r="H22" s="3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>
      <c r="A23" s="3"/>
      <c r="B23" s="3"/>
      <c r="C23" s="3"/>
      <c r="D23" s="3"/>
      <c r="E23" s="3"/>
      <c r="F23" s="27"/>
      <c r="G23" s="3"/>
      <c r="H23" s="3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>
      <c r="A24" s="3"/>
      <c r="B24" s="3"/>
      <c r="C24" s="3"/>
      <c r="D24" s="3"/>
      <c r="E24" s="3"/>
      <c r="F24" s="3"/>
      <c r="G24" s="3"/>
      <c r="H24" s="3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>
      <c r="A25" s="3"/>
      <c r="B25" s="3"/>
      <c r="C25" s="3"/>
      <c r="D25" s="3"/>
      <c r="E25" s="3"/>
      <c r="F25" s="3"/>
      <c r="G25" s="3"/>
      <c r="H25" s="3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3"/>
      <c r="B26" s="3"/>
      <c r="C26" s="3"/>
      <c r="D26" s="3"/>
      <c r="E26" s="3"/>
      <c r="F26" s="3"/>
      <c r="G26" s="3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3"/>
      <c r="B27" s="3"/>
      <c r="C27" s="3"/>
      <c r="D27" s="3"/>
      <c r="E27" s="3"/>
      <c r="F27" s="3"/>
      <c r="G27" s="3"/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>
      <c r="A28" s="3"/>
      <c r="B28" s="3"/>
      <c r="C28" s="3"/>
      <c r="D28" s="3"/>
      <c r="E28" s="3"/>
      <c r="F28" s="3"/>
      <c r="G28" s="3"/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>
      <c r="A29" s="3"/>
      <c r="B29" s="3"/>
      <c r="C29" s="3"/>
      <c r="D29" s="3"/>
      <c r="E29" s="3"/>
      <c r="F29" s="3"/>
      <c r="G29" s="3"/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>
      <c r="A30" s="3"/>
      <c r="B30" s="3"/>
      <c r="C30" s="3"/>
      <c r="D30" s="3"/>
      <c r="E30" s="3"/>
      <c r="F30" s="3"/>
      <c r="G30" s="3"/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>
      <c r="A31" s="3"/>
      <c r="B31" s="3"/>
      <c r="C31" s="3"/>
      <c r="D31" s="3"/>
      <c r="E31" s="3"/>
      <c r="F31" s="3"/>
      <c r="G31" s="3"/>
      <c r="H31" s="3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>
      <c r="A32" s="3"/>
      <c r="B32" s="3"/>
      <c r="C32" s="3"/>
      <c r="D32" s="3"/>
      <c r="E32" s="3"/>
      <c r="F32" s="3"/>
      <c r="G32" s="3"/>
      <c r="H32" s="3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3"/>
      <c r="B34" s="3"/>
      <c r="C34" s="3"/>
      <c r="D34" s="3"/>
      <c r="E34" s="3"/>
      <c r="F34" s="3"/>
      <c r="G34" s="3"/>
      <c r="H34" s="3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3"/>
      <c r="B35" s="3"/>
      <c r="C35" s="3"/>
      <c r="D35" s="3"/>
      <c r="E35" s="3"/>
      <c r="F35" s="3"/>
      <c r="G35" s="3"/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3"/>
      <c r="B36" s="3"/>
      <c r="C36" s="3"/>
      <c r="D36" s="3"/>
      <c r="E36" s="3"/>
      <c r="F36" s="3"/>
      <c r="G36" s="3"/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34.5" customHeight="1">
      <c r="A42" s="4"/>
      <c r="B42" s="1" t="s">
        <v>32</v>
      </c>
      <c r="C42" s="28" t="s">
        <v>18</v>
      </c>
      <c r="D42" s="29" t="s">
        <v>33</v>
      </c>
      <c r="E42" s="29" t="s">
        <v>34</v>
      </c>
      <c r="F42" s="29" t="s">
        <v>35</v>
      </c>
      <c r="G42" s="29" t="s">
        <v>36</v>
      </c>
      <c r="H42" s="29" t="s">
        <v>37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37.5" customHeight="1">
      <c r="A43" s="4"/>
      <c r="B43" s="4"/>
      <c r="C43" s="4"/>
      <c r="D43" s="30">
        <f>SUM(C44:C53,E44:E50,G44:G49)</f>
        <v>87740</v>
      </c>
      <c r="E43" s="30">
        <f>SUM(I44:I54)</f>
        <v>25250</v>
      </c>
      <c r="F43" s="30">
        <f>SUM(K44:K60)</f>
        <v>13419</v>
      </c>
      <c r="G43" s="30">
        <f>E43+F43</f>
        <v>38669</v>
      </c>
      <c r="H43" s="30">
        <f>D43-G43</f>
        <v>49071</v>
      </c>
      <c r="I43" s="4"/>
      <c r="J43" s="3"/>
      <c r="K43" s="3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22" t="s">
        <v>38</v>
      </c>
      <c r="C44" s="31">
        <f>SUMIFS(INGRESOS!L:L,INGRESOS!N:N,$C$1,INGRESOS!M:M,$C$42,INGRESOS!D:D,$B44)</f>
        <v>1200</v>
      </c>
      <c r="D44" s="22" t="s">
        <v>39</v>
      </c>
      <c r="E44" s="26">
        <f>SUMIFS(INGRESOS!L:L,INGRESOS!N:N,$C$1,INGRESOS!M:M,$C$42,INGRESOS!D:D,$D44)</f>
        <v>20890</v>
      </c>
      <c r="F44" s="22" t="s">
        <v>40</v>
      </c>
      <c r="G44" s="26">
        <f>SUMIFS(INGRESOS!L:L,INGRESOS!N:N,$C$1,INGRESOS!M:M,$C$42,INGRESOS!D:D,$F44)</f>
        <v>0</v>
      </c>
      <c r="H44" s="22" t="s">
        <v>41</v>
      </c>
      <c r="I44" s="26">
        <f>SUMIFS(SALARIOS!H:H,SALARIOS!J:J,$C$1,SALARIOS!I:I,$C$42,SALARIOS!B:B,$H44)</f>
        <v>4560</v>
      </c>
      <c r="J44" s="22" t="s">
        <v>42</v>
      </c>
      <c r="K44" s="26">
        <f>SUMIFS(GASTOS!C:C,GASTOS!F:F,$C$1,GASTOS!E:E,$C$42,GASTOS!G:G,$J44)</f>
        <v>58</v>
      </c>
      <c r="L44" s="32"/>
      <c r="M44" s="4"/>
      <c r="N44" s="4"/>
      <c r="O44" s="4"/>
      <c r="P44" s="4"/>
      <c r="Q44" s="4"/>
      <c r="R44" s="4"/>
      <c r="S44" s="4"/>
      <c r="T44" s="4"/>
    </row>
    <row r="45">
      <c r="A45" s="4"/>
      <c r="B45" s="22" t="s">
        <v>43</v>
      </c>
      <c r="C45" s="31">
        <f>SUMIFS(INGRESOS!L:L,INGRESOS!N:N,$C$1,INGRESOS!M:M,$C$42,INGRESOS!D:D,$B45)</f>
        <v>600</v>
      </c>
      <c r="D45" s="22" t="s">
        <v>44</v>
      </c>
      <c r="E45" s="26">
        <f>SUMIFS(INGRESOS!L:L,INGRESOS!N:N,$C$1,INGRESOS!M:M,$C$42,INGRESOS!D:D,$D45)</f>
        <v>3300</v>
      </c>
      <c r="F45" s="22" t="s">
        <v>45</v>
      </c>
      <c r="G45" s="26">
        <f>SUMIFS(INGRESOS!L:L,INGRESOS!N:N,$C$1,INGRESOS!M:M,$C$42,INGRESOS!D:D,$F45)</f>
        <v>3700</v>
      </c>
      <c r="H45" s="22" t="s">
        <v>46</v>
      </c>
      <c r="I45" s="26">
        <f>SUMIFS(SALARIOS!H:H,SALARIOS!J:J,$C$1,SALARIOS!I:I,$C$42,SALARIOS!B:B,$H45)</f>
        <v>2210</v>
      </c>
      <c r="J45" s="22" t="s">
        <v>47</v>
      </c>
      <c r="K45" s="26">
        <f>SUMIFS(GASTOS!C:C,GASTOS!F:F,$C$1,GASTOS!E:E,$C$42,GASTOS!G:G,$J45)</f>
        <v>28</v>
      </c>
      <c r="L45" s="33"/>
      <c r="M45" s="4"/>
      <c r="N45" s="4"/>
      <c r="O45" s="4"/>
      <c r="P45" s="4"/>
      <c r="Q45" s="4"/>
      <c r="R45" s="4"/>
      <c r="S45" s="4"/>
      <c r="T45" s="4"/>
    </row>
    <row r="46">
      <c r="A46" s="4"/>
      <c r="B46" s="22" t="s">
        <v>48</v>
      </c>
      <c r="C46" s="31">
        <f>SUMIFS(INGRESOS!L:L,INGRESOS!N:N,$C$1,INGRESOS!M:M,$C$42,INGRESOS!D:D,$B46)</f>
        <v>1300</v>
      </c>
      <c r="D46" s="22" t="s">
        <v>49</v>
      </c>
      <c r="E46" s="26">
        <f>SUMIFS(INGRESOS!L:L,INGRESOS!N:N,$C$1,INGRESOS!M:M,$C$42,INGRESOS!D:D,$D46)</f>
        <v>0</v>
      </c>
      <c r="F46" s="22" t="s">
        <v>50</v>
      </c>
      <c r="G46" s="26">
        <f>SUMIFS(INGRESOS!L:L,INGRESOS!N:N,$C$1,INGRESOS!M:M,$C$42,INGRESOS!D:D,$F46)</f>
        <v>9600</v>
      </c>
      <c r="H46" s="22" t="s">
        <v>51</v>
      </c>
      <c r="I46" s="26">
        <f>SUMIFS(SALARIOS!H:H,SALARIOS!J:J,$C$1,SALARIOS!I:I,$C$42,SALARIOS!B:B,$H46)</f>
        <v>4090</v>
      </c>
      <c r="J46" s="22" t="s">
        <v>52</v>
      </c>
      <c r="K46" s="26">
        <f>SUMIFS(GASTOS!C:C,GASTOS!F:F,$C$1,GASTOS!E:E,$C$42,GASTOS!G:G,$J46)</f>
        <v>0</v>
      </c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22" t="s">
        <v>53</v>
      </c>
      <c r="C47" s="31">
        <f>SUMIFS(INGRESOS!L:L,INGRESOS!N:N,$C$1,INGRESOS!M:M,$C$42,INGRESOS!D:D,$B47)</f>
        <v>1900</v>
      </c>
      <c r="D47" s="22" t="s">
        <v>54</v>
      </c>
      <c r="E47" s="26">
        <f>SUMIFS(INGRESOS!L:L,INGRESOS!N:N,$C$1,INGRESOS!M:M,$C$42,INGRESOS!D:D,$D47)</f>
        <v>0</v>
      </c>
      <c r="F47" s="22" t="s">
        <v>55</v>
      </c>
      <c r="G47" s="26">
        <f>SUMIFS(INGRESOS!L:L,INGRESOS!N:N,$C$1,INGRESOS!M:M,$C$42,INGRESOS!D:D,$F47)</f>
        <v>20350</v>
      </c>
      <c r="H47" s="22" t="s">
        <v>56</v>
      </c>
      <c r="I47" s="26">
        <f>SUMIFS(SALARIOS!H:H,SALARIOS!J:J,$C$1,SALARIOS!I:I,$C$42,SALARIOS!B:B,$H47)</f>
        <v>1060</v>
      </c>
      <c r="J47" s="22" t="s">
        <v>57</v>
      </c>
      <c r="K47" s="26">
        <f>SUMIFS(GASTOS!C:C,GASTOS!F:F,$C$1,GASTOS!E:E,$C$42,GASTOS!G:G,$J47)</f>
        <v>3120</v>
      </c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22" t="s">
        <v>58</v>
      </c>
      <c r="C48" s="31">
        <f>SUMIFS(INGRESOS!L:L,INGRESOS!N:N,$C$1,INGRESOS!M:M,$C$42,INGRESOS!D:D,$B48)</f>
        <v>2650</v>
      </c>
      <c r="D48" s="22" t="s">
        <v>59</v>
      </c>
      <c r="E48" s="26">
        <f>SUMIFS(INGRESOS!L:L,INGRESOS!N:N,$C$1,INGRESOS!M:M,$C$42,INGRESOS!D:D,$D48)</f>
        <v>3700</v>
      </c>
      <c r="F48" s="22" t="s">
        <v>60</v>
      </c>
      <c r="G48" s="26">
        <f>SUMIFS(INGRESOS!L:L,INGRESOS!N:N,$C$1,INGRESOS!M:M,$C$42,INGRESOS!D:D,$F48)</f>
        <v>0</v>
      </c>
      <c r="H48" s="22" t="s">
        <v>61</v>
      </c>
      <c r="I48" s="26">
        <f>SUMIFS(SALARIOS!H:H,SALARIOS!J:J,$C$1,SALARIOS!I:I,$C$42,SALARIOS!B:B,$H48)</f>
        <v>0</v>
      </c>
      <c r="J48" s="22" t="s">
        <v>62</v>
      </c>
      <c r="K48" s="26">
        <f>SUMIFS(GASTOS!C:C,GASTOS!F:F,$C$1,GASTOS!E:E,$C$42,GASTOS!G:G,$J48)</f>
        <v>0</v>
      </c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22" t="s">
        <v>63</v>
      </c>
      <c r="C49" s="31">
        <f>SUMIFS(INGRESOS!L:L,INGRESOS!N:N,$C$1,INGRESOS!M:M,$C$42,INGRESOS!D:D,$B49)</f>
        <v>1600</v>
      </c>
      <c r="D49" s="22" t="s">
        <v>64</v>
      </c>
      <c r="E49" s="26">
        <f>SUMIFS(INGRESOS!L:L,INGRESOS!N:N,$C$1,INGRESOS!M:M,$C$42,INGRESOS!D:D,$D49)</f>
        <v>0</v>
      </c>
      <c r="F49" s="22" t="s">
        <v>65</v>
      </c>
      <c r="G49" s="26">
        <f>SUMIFS(INGRESOS!L:L,INGRESOS!N:N,$C$1,INGRESOS!M:M,$C$42,INGRESOS!D:D,$F49)</f>
        <v>0</v>
      </c>
      <c r="H49" s="22" t="s">
        <v>66</v>
      </c>
      <c r="I49" s="26">
        <f>SUMIFS(SALARIOS!H:H,SALARIOS!J:J,$C$1,SALARIOS!I:I,$C$42,SALARIOS!B:B,$H49)</f>
        <v>690</v>
      </c>
      <c r="J49" s="22" t="s">
        <v>67</v>
      </c>
      <c r="K49" s="26">
        <f>SUMIFS(GASTOS!C:C,GASTOS!F:F,$C$1,GASTOS!E:E,$C$42,GASTOS!G:G,$J49)</f>
        <v>400</v>
      </c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22" t="s">
        <v>68</v>
      </c>
      <c r="C50" s="31">
        <f>SUMIFS(INGRESOS!L:L,INGRESOS!N:N,$C$1,INGRESOS!M:M,$C$42,INGRESOS!D:D,$B50)</f>
        <v>800</v>
      </c>
      <c r="D50" s="22" t="s">
        <v>69</v>
      </c>
      <c r="E50" s="26">
        <f>SUMIFS(INGRESOS!L:L,INGRESOS!N:N,$C$1,INGRESOS!M:M,$C$42,INGRESOS!D:D,$D50)</f>
        <v>6950</v>
      </c>
      <c r="F50" s="24"/>
      <c r="G50" s="3"/>
      <c r="H50" s="22" t="s">
        <v>70</v>
      </c>
      <c r="I50" s="26">
        <f>SUMIFS(SALARIOS!H:H,SALARIOS!J:J,$C$1,SALARIOS!I:I,$C$42,SALARIOS!B:B,$H50)</f>
        <v>3625</v>
      </c>
      <c r="J50" s="22" t="s">
        <v>71</v>
      </c>
      <c r="K50" s="26">
        <f>SUMIFS(GASTOS!C:C,GASTOS!F:F,$C$1,GASTOS!E:E,$C$42,GASTOS!G:G,$J50)</f>
        <v>0</v>
      </c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22" t="s">
        <v>72</v>
      </c>
      <c r="C51" s="31">
        <f>SUMIFS(INGRESOS!L:L,INGRESOS!N:N,$C$1,INGRESOS!M:M,$C$42,INGRESOS!D:D,$B51)</f>
        <v>800</v>
      </c>
      <c r="D51" s="23"/>
      <c r="E51" s="23"/>
      <c r="F51" s="24"/>
      <c r="G51" s="3"/>
      <c r="H51" s="22" t="s">
        <v>73</v>
      </c>
      <c r="I51" s="26">
        <f>SUMIFS(SALARIOS!H:H,SALARIOS!J:J,$C$1,SALARIOS!I:I,$C$42,SALARIOS!B:B,$H51)</f>
        <v>5785</v>
      </c>
      <c r="J51" s="22" t="s">
        <v>74</v>
      </c>
      <c r="K51" s="26">
        <f>SUMIFS(GASTOS!C:C,GASTOS!F:F,$C$1,GASTOS!E:E,$C$42,GASTOS!G:G,$J51)</f>
        <v>0</v>
      </c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22" t="s">
        <v>75</v>
      </c>
      <c r="C52" s="31">
        <f>SUMIFS(INGRESOS!L:L,INGRESOS!N:N,$C$1,INGRESOS!M:M,$C$42,INGRESOS!D:D,$B52)</f>
        <v>4400</v>
      </c>
      <c r="D52" s="23"/>
      <c r="E52" s="23"/>
      <c r="F52" s="24"/>
      <c r="G52" s="3"/>
      <c r="H52" s="22" t="s">
        <v>76</v>
      </c>
      <c r="I52" s="26">
        <f>SUMIFS(SALARIOS!H:H,SALARIOS!J:J,$C$1,SALARIOS!I:I,$C$42,SALARIOS!B:B,$H52)</f>
        <v>0</v>
      </c>
      <c r="J52" s="22" t="s">
        <v>77</v>
      </c>
      <c r="K52" s="26">
        <f>SUMIFS(GASTOS!C:C,GASTOS!F:F,$C$1,GASTOS!E:E,$C$42,GASTOS!G:G,$J52)</f>
        <v>1900</v>
      </c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22" t="s">
        <v>78</v>
      </c>
      <c r="C53" s="31">
        <f>SUMIFS(INGRESOS!L:L,INGRESOS!N:N,$C$1,INGRESOS!M:M,$C$42,INGRESOS!D:D,$B53)</f>
        <v>4000</v>
      </c>
      <c r="D53" s="23"/>
      <c r="E53" s="23"/>
      <c r="F53" s="24"/>
      <c r="G53" s="3"/>
      <c r="H53" s="22" t="s">
        <v>79</v>
      </c>
      <c r="I53" s="26">
        <f>SUMIFS(SALARIOS!H:H,SALARIOS!J:J,$C$1,SALARIOS!I:I,$C$42,SALARIOS!B:B,$H53)</f>
        <v>2130</v>
      </c>
      <c r="J53" s="22" t="s">
        <v>80</v>
      </c>
      <c r="K53" s="26">
        <f>SUMIFS(GASTOS!C:C,GASTOS!F:F,$C$1,GASTOS!E:E,$C$42,GASTOS!G:G,$J53)</f>
        <v>0</v>
      </c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23"/>
      <c r="E54" s="23"/>
      <c r="F54" s="24"/>
      <c r="G54" s="3"/>
      <c r="H54" s="22" t="s">
        <v>81</v>
      </c>
      <c r="I54" s="26">
        <f>SUMIFS(SALARIOS!H:H,SALARIOS!J:J,$C$1,SALARIOS!I:I,$C$42,SALARIOS!B:B,$H54)</f>
        <v>1100</v>
      </c>
      <c r="J54" s="22" t="s">
        <v>82</v>
      </c>
      <c r="K54" s="26">
        <f>SUMIFS(GASTOS!C:C,GASTOS!F:F,$C$1,GASTOS!E:E,$C$42,GASTOS!G:G,$J54)</f>
        <v>0</v>
      </c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34" t="str">
        <f t="array" ref="B55:C64">SORT(B44:C53,2,TRUE)</f>
        <v>Mickey</v>
      </c>
      <c r="C55" s="31">
        <v>600.0</v>
      </c>
      <c r="D55" s="22" t="str">
        <f t="array" ref="D55:E61">SORT(D44:E50,2,TRUE)</f>
        <v>Chiquidisco</v>
      </c>
      <c r="E55" s="31">
        <v>0.0</v>
      </c>
      <c r="F55" s="24"/>
      <c r="G55" s="3"/>
      <c r="H55" s="26"/>
      <c r="I55" s="26"/>
      <c r="J55" s="22" t="s">
        <v>83</v>
      </c>
      <c r="K55" s="26">
        <f>SUMIFS(GASTOS!C:C,GASTOS!F:F,$C$1,GASTOS!E:E,$C$42,GASTOS!G:G,$J55)</f>
        <v>0</v>
      </c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34" t="s">
        <v>68</v>
      </c>
      <c r="C56" s="31">
        <v>800.0</v>
      </c>
      <c r="D56" s="22" t="s">
        <v>54</v>
      </c>
      <c r="E56" s="31">
        <v>0.0</v>
      </c>
      <c r="F56" s="24" t="str">
        <f t="array" ref="F56:G61">SORT(F44:G49,2,TRUE)</f>
        <v>1 HORA TORO</v>
      </c>
      <c r="G56" s="26">
        <v>0.0</v>
      </c>
      <c r="H56" s="26" t="str">
        <f t="array" ref="H56:I66">SORT(H44:I54,2,TRUE)</f>
        <v>Jesualdo</v>
      </c>
      <c r="I56" s="26">
        <v>0.0</v>
      </c>
      <c r="J56" s="22" t="s">
        <v>84</v>
      </c>
      <c r="K56" s="26">
        <f>SUMIFS(GASTOS!C:C,GASTOS!F:F,$C$1,GASTOS!E:E,$C$42,GASTOS!G:G,$J56)</f>
        <v>0</v>
      </c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34" t="s">
        <v>72</v>
      </c>
      <c r="C57" s="31">
        <v>800.0</v>
      </c>
      <c r="D57" s="22" t="s">
        <v>64</v>
      </c>
      <c r="E57" s="31">
        <v>0.0</v>
      </c>
      <c r="F57" s="24" t="s">
        <v>60</v>
      </c>
      <c r="G57" s="26">
        <v>0.0</v>
      </c>
      <c r="H57" s="26" t="s">
        <v>76</v>
      </c>
      <c r="I57" s="26">
        <v>0.0</v>
      </c>
      <c r="J57" s="22" t="s">
        <v>85</v>
      </c>
      <c r="K57" s="26">
        <f>SUMIFS(GASTOS!C:C,GASTOS!F:F,$C$1,GASTOS!E:E,$C$42,GASTOS!G:G,$J57)</f>
        <v>5950</v>
      </c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34" t="s">
        <v>38</v>
      </c>
      <c r="C58" s="31">
        <v>1200.0</v>
      </c>
      <c r="D58" s="22" t="s">
        <v>44</v>
      </c>
      <c r="E58" s="31">
        <v>3300.0</v>
      </c>
      <c r="F58" s="24" t="s">
        <v>65</v>
      </c>
      <c r="G58" s="26">
        <v>0.0</v>
      </c>
      <c r="H58" s="26" t="s">
        <v>66</v>
      </c>
      <c r="I58" s="26">
        <v>690.0</v>
      </c>
      <c r="J58" s="22" t="s">
        <v>86</v>
      </c>
      <c r="K58" s="26">
        <f>SUMIFS(GASTOS!C:C,GASTOS!F:F,$C$1,GASTOS!E:E,$C$42,GASTOS!G:G,$J58)</f>
        <v>150</v>
      </c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34" t="s">
        <v>48</v>
      </c>
      <c r="C59" s="31">
        <v>1300.0</v>
      </c>
      <c r="D59" s="22" t="s">
        <v>59</v>
      </c>
      <c r="E59" s="31">
        <v>3700.0</v>
      </c>
      <c r="F59" s="24" t="s">
        <v>45</v>
      </c>
      <c r="G59" s="26">
        <v>3700.0</v>
      </c>
      <c r="H59" s="26" t="s">
        <v>56</v>
      </c>
      <c r="I59" s="26">
        <v>1060.0</v>
      </c>
      <c r="J59" s="22" t="s">
        <v>87</v>
      </c>
      <c r="K59" s="26">
        <f>SUMIFS(GASTOS!C:C,GASTOS!F:F,$C$1,GASTOS!E:E,$C$42,GASTOS!G:G,$J59)</f>
        <v>180</v>
      </c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21" t="s">
        <v>63</v>
      </c>
      <c r="C60" s="31">
        <v>1600.0</v>
      </c>
      <c r="D60" s="22" t="s">
        <v>69</v>
      </c>
      <c r="E60" s="31">
        <v>6950.0</v>
      </c>
      <c r="F60" s="24" t="s">
        <v>50</v>
      </c>
      <c r="G60" s="26">
        <v>9600.0</v>
      </c>
      <c r="H60" s="26" t="s">
        <v>81</v>
      </c>
      <c r="I60" s="26">
        <v>1100.0</v>
      </c>
      <c r="J60" s="22" t="s">
        <v>88</v>
      </c>
      <c r="K60" s="26">
        <f>SUMIFS(GASTOS!C:C,GASTOS!F:F,$C$1,GASTOS!E:E,$C$42,GASTOS!G:G,$J60)</f>
        <v>1633</v>
      </c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34" t="s">
        <v>53</v>
      </c>
      <c r="C61" s="31">
        <v>1900.0</v>
      </c>
      <c r="D61" s="22" t="s">
        <v>39</v>
      </c>
      <c r="E61" s="31">
        <v>20890.0</v>
      </c>
      <c r="F61" s="3" t="s">
        <v>55</v>
      </c>
      <c r="G61" s="26">
        <v>20350.0</v>
      </c>
      <c r="H61" s="3" t="s">
        <v>79</v>
      </c>
      <c r="I61" s="26">
        <v>2130.0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34" t="s">
        <v>58</v>
      </c>
      <c r="C62" s="31">
        <v>2650.0</v>
      </c>
      <c r="D62" s="4"/>
      <c r="E62" s="4"/>
      <c r="F62" s="4"/>
      <c r="G62" s="4"/>
      <c r="H62" s="3" t="s">
        <v>46</v>
      </c>
      <c r="I62" s="26">
        <v>2210.0</v>
      </c>
      <c r="J62" s="4"/>
      <c r="K62" s="4"/>
      <c r="L62" s="4"/>
      <c r="M62" s="4"/>
      <c r="N62" s="4"/>
      <c r="O62" s="4"/>
      <c r="P62" s="4"/>
      <c r="Q62" s="4"/>
      <c r="R62" s="4"/>
    </row>
    <row r="63">
      <c r="A63" s="4"/>
      <c r="B63" s="34" t="s">
        <v>78</v>
      </c>
      <c r="C63" s="31">
        <v>4000.0</v>
      </c>
      <c r="D63" s="4"/>
      <c r="E63" s="4"/>
      <c r="F63" s="4"/>
      <c r="G63" s="4"/>
      <c r="H63" s="3" t="s">
        <v>70</v>
      </c>
      <c r="I63" s="26">
        <v>3625.0</v>
      </c>
      <c r="J63" s="4" t="str">
        <f t="array" ref="J63:K79">SORT(J44:K60,2,TRUE)</f>
        <v>Artículos de toro</v>
      </c>
      <c r="K63" s="35">
        <v>0.0</v>
      </c>
      <c r="L63" s="4"/>
      <c r="M63" s="4"/>
      <c r="N63" s="4"/>
      <c r="O63" s="4"/>
      <c r="P63" s="4"/>
      <c r="Q63" s="4"/>
      <c r="R63" s="4"/>
    </row>
    <row r="64">
      <c r="A64" s="4"/>
      <c r="B64" s="34" t="s">
        <v>75</v>
      </c>
      <c r="C64" s="31">
        <v>4400.0</v>
      </c>
      <c r="D64" s="4"/>
      <c r="E64" s="4"/>
      <c r="F64" s="4"/>
      <c r="G64" s="4"/>
      <c r="H64" s="3" t="s">
        <v>51</v>
      </c>
      <c r="I64" s="26">
        <v>4090.0</v>
      </c>
      <c r="J64" s="4" t="s">
        <v>62</v>
      </c>
      <c r="K64" s="35">
        <v>0.0</v>
      </c>
      <c r="L64" s="4"/>
      <c r="M64" s="4"/>
      <c r="N64" s="4"/>
      <c r="O64" s="4"/>
      <c r="P64" s="4"/>
      <c r="Q64" s="4"/>
      <c r="R64" s="4"/>
    </row>
    <row r="65">
      <c r="A65" s="4"/>
      <c r="B65" s="4"/>
      <c r="C65" s="4"/>
      <c r="D65" s="4"/>
      <c r="E65" s="4"/>
      <c r="F65" s="4"/>
      <c r="G65" s="4"/>
      <c r="H65" s="3" t="s">
        <v>41</v>
      </c>
      <c r="I65" s="26">
        <v>4560.0</v>
      </c>
      <c r="J65" s="4" t="s">
        <v>71</v>
      </c>
      <c r="K65" s="35">
        <v>0.0</v>
      </c>
      <c r="L65" s="4"/>
      <c r="M65" s="4"/>
      <c r="N65" s="4"/>
      <c r="O65" s="4"/>
      <c r="P65" s="4"/>
      <c r="Q65" s="4"/>
      <c r="R65" s="4"/>
    </row>
    <row r="66">
      <c r="A66" s="4"/>
      <c r="B66" s="4"/>
      <c r="C66" s="4"/>
      <c r="D66" s="4"/>
      <c r="E66" s="4"/>
      <c r="F66" s="4"/>
      <c r="G66" s="4"/>
      <c r="H66" s="3" t="s">
        <v>73</v>
      </c>
      <c r="I66" s="26">
        <v>5785.0</v>
      </c>
      <c r="J66" s="4" t="s">
        <v>74</v>
      </c>
      <c r="K66" s="35">
        <v>0.0</v>
      </c>
      <c r="L66" s="4"/>
      <c r="M66" s="4"/>
      <c r="N66" s="4"/>
      <c r="O66" s="4"/>
      <c r="P66" s="4"/>
      <c r="Q66" s="4"/>
      <c r="R66" s="4"/>
    </row>
    <row r="67">
      <c r="A67" s="4"/>
      <c r="B67" s="4"/>
      <c r="C67" s="4"/>
      <c r="D67" s="4"/>
      <c r="E67" s="4"/>
      <c r="F67" s="4"/>
      <c r="G67" s="4"/>
      <c r="H67" s="3"/>
      <c r="I67" s="3"/>
      <c r="J67" s="4" t="s">
        <v>80</v>
      </c>
      <c r="K67" s="35">
        <v>0.0</v>
      </c>
      <c r="L67" s="4"/>
      <c r="M67" s="4"/>
      <c r="N67" s="4"/>
      <c r="O67" s="4"/>
      <c r="P67" s="4"/>
      <c r="Q67" s="4"/>
      <c r="R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 t="s">
        <v>82</v>
      </c>
      <c r="K68" s="35">
        <v>0.0</v>
      </c>
      <c r="L68" s="4"/>
      <c r="M68" s="4"/>
      <c r="N68" s="4"/>
      <c r="O68" s="4"/>
      <c r="P68" s="4"/>
      <c r="Q68" s="4"/>
      <c r="R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 t="s">
        <v>83</v>
      </c>
      <c r="K69" s="35">
        <v>0.0</v>
      </c>
      <c r="L69" s="4"/>
      <c r="M69" s="4"/>
      <c r="N69" s="4"/>
      <c r="O69" s="4"/>
      <c r="P69" s="4"/>
      <c r="Q69" s="4"/>
      <c r="R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 t="s">
        <v>84</v>
      </c>
      <c r="K70" s="35">
        <v>0.0</v>
      </c>
      <c r="L70" s="4"/>
      <c r="M70" s="4"/>
      <c r="N70" s="4"/>
      <c r="O70" s="4"/>
      <c r="P70" s="4"/>
      <c r="Q70" s="4"/>
      <c r="R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 t="s">
        <v>47</v>
      </c>
      <c r="K71" s="35">
        <v>28.0</v>
      </c>
      <c r="L71" s="4"/>
      <c r="M71" s="4"/>
      <c r="N71" s="4"/>
      <c r="O71" s="4"/>
      <c r="P71" s="4"/>
      <c r="Q71" s="4"/>
      <c r="R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 t="s">
        <v>42</v>
      </c>
      <c r="K72" s="35">
        <v>58.0</v>
      </c>
      <c r="L72" s="4"/>
      <c r="M72" s="4"/>
      <c r="N72" s="4"/>
      <c r="O72" s="4"/>
      <c r="P72" s="4"/>
      <c r="Q72" s="4"/>
      <c r="R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 t="s">
        <v>86</v>
      </c>
      <c r="K73" s="35">
        <v>150.0</v>
      </c>
      <c r="L73" s="4"/>
      <c r="M73" s="4"/>
      <c r="N73" s="4"/>
      <c r="O73" s="4"/>
      <c r="P73" s="4"/>
      <c r="Q73" s="4"/>
      <c r="R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 t="s">
        <v>87</v>
      </c>
      <c r="K74" s="35">
        <v>180.0</v>
      </c>
      <c r="L74" s="4"/>
      <c r="M74" s="4"/>
      <c r="N74" s="4"/>
      <c r="O74" s="4"/>
      <c r="P74" s="4"/>
      <c r="Q74" s="4"/>
      <c r="R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 t="s">
        <v>67</v>
      </c>
      <c r="K75" s="35">
        <v>400.0</v>
      </c>
      <c r="L75" s="4"/>
      <c r="M75" s="4"/>
      <c r="N75" s="4"/>
      <c r="O75" s="4"/>
      <c r="P75" s="4"/>
      <c r="Q75" s="4"/>
      <c r="R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 t="s">
        <v>88</v>
      </c>
      <c r="K76" s="35">
        <v>1633.0</v>
      </c>
      <c r="L76" s="4"/>
      <c r="M76" s="4"/>
      <c r="N76" s="4"/>
      <c r="O76" s="4"/>
      <c r="P76" s="4"/>
      <c r="Q76" s="4"/>
      <c r="R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 t="s">
        <v>77</v>
      </c>
      <c r="K77" s="35">
        <v>1900.0</v>
      </c>
      <c r="L77" s="4"/>
      <c r="M77" s="4"/>
      <c r="N77" s="4"/>
      <c r="O77" s="4"/>
      <c r="P77" s="4"/>
      <c r="Q77" s="4"/>
      <c r="R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 t="s">
        <v>57</v>
      </c>
      <c r="K78" s="35">
        <v>3120.0</v>
      </c>
      <c r="L78" s="4"/>
      <c r="M78" s="4"/>
      <c r="N78" s="4"/>
      <c r="O78" s="4"/>
      <c r="P78" s="4"/>
      <c r="Q78" s="4"/>
      <c r="R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 t="s">
        <v>85</v>
      </c>
      <c r="K79" s="35">
        <v>5950.0</v>
      </c>
      <c r="L79" s="4"/>
      <c r="M79" s="4"/>
      <c r="N79" s="4"/>
      <c r="O79" s="4"/>
      <c r="P79" s="4"/>
      <c r="Q79" s="4"/>
      <c r="R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</sheetData>
  <mergeCells count="10">
    <mergeCell ref="F4:G4"/>
    <mergeCell ref="H4:I4"/>
    <mergeCell ref="B3:C3"/>
    <mergeCell ref="D3:E3"/>
    <mergeCell ref="F3:G3"/>
    <mergeCell ref="H3:I3"/>
    <mergeCell ref="J3:K3"/>
    <mergeCell ref="B4:C4"/>
    <mergeCell ref="D4:E4"/>
    <mergeCell ref="J4:K4"/>
  </mergeCells>
  <dataValidations>
    <dataValidation type="list" allowBlank="1" showErrorMessage="1" sqref="C1">
      <formula1>INGRESOS!$N$2:$N1001</formula1>
    </dataValidation>
    <dataValidation type="list" allowBlank="1" showErrorMessage="1" sqref="C42">
      <formula1>DASHBOARD!$B$6:$B$17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63"/>
    <col customWidth="1" min="3" max="3" width="13.38"/>
    <col customWidth="1" min="4" max="4" width="18.63"/>
    <col customWidth="1" min="5" max="5" width="14.88"/>
    <col customWidth="1" min="6" max="6" width="22.38"/>
    <col customWidth="1" min="8" max="8" width="15.13"/>
    <col customWidth="1" min="9" max="9" width="22.38"/>
    <col customWidth="1" min="12" max="12" width="13.88"/>
    <col customWidth="1" min="13" max="13" width="25.75"/>
    <col customWidth="1" min="14" max="14" width="13.5"/>
    <col customWidth="1" min="16" max="16" width="24.5"/>
    <col customWidth="1" min="19" max="19" width="23.75"/>
  </cols>
  <sheetData>
    <row r="1">
      <c r="A1" s="36">
        <v>0.0</v>
      </c>
      <c r="B1" s="37">
        <v>46079.0</v>
      </c>
    </row>
    <row r="2">
      <c r="A2" s="38"/>
      <c r="B2" s="38"/>
      <c r="C2" s="38"/>
      <c r="D2" s="38"/>
      <c r="E2" s="38"/>
      <c r="F2" s="38"/>
      <c r="P2" s="39" t="s">
        <v>89</v>
      </c>
      <c r="Q2" s="40"/>
    </row>
    <row r="3" ht="22.5" customHeight="1">
      <c r="A3" s="41" t="s">
        <v>90</v>
      </c>
      <c r="B3" s="42" t="s">
        <v>91</v>
      </c>
      <c r="C3" s="42" t="s">
        <v>92</v>
      </c>
      <c r="D3" s="42" t="s">
        <v>93</v>
      </c>
      <c r="E3" s="42" t="s">
        <v>94</v>
      </c>
      <c r="F3" s="42" t="s">
        <v>95</v>
      </c>
      <c r="H3" s="43" t="s">
        <v>96</v>
      </c>
      <c r="I3" s="43" t="s">
        <v>91</v>
      </c>
      <c r="J3" s="43" t="s">
        <v>97</v>
      </c>
      <c r="L3" s="43" t="s">
        <v>98</v>
      </c>
      <c r="M3" s="43" t="s">
        <v>29</v>
      </c>
      <c r="N3" s="43" t="s">
        <v>99</v>
      </c>
      <c r="P3" s="44" t="s">
        <v>90</v>
      </c>
      <c r="Q3" s="45">
        <f>SUM(INGRESOS[INGRESOS])</f>
        <v>600</v>
      </c>
      <c r="S3" s="38" t="s">
        <v>100</v>
      </c>
      <c r="T3" s="46">
        <f>SUMIF(GASTOS[SOCIO],"Sebastián",GASTOS[GASTOS])</f>
        <v>0</v>
      </c>
    </row>
    <row r="4" ht="22.5" customHeight="1">
      <c r="A4" s="47">
        <f>IFERROR(__xludf.DUMMYFUNCTION("IFNA(FILTER(INGRESOS!L:L,INGRESOS!C:C=B1),0)"),600.0)</f>
        <v>600</v>
      </c>
      <c r="B4" s="48" t="str">
        <f>IFERROR(__xludf.DUMMYFUNCTION("IFNA(FILTER(INGRESOS!D:D,INGRESOS!C:C=B1),""-"")"),"Superheróes")</f>
        <v>Superheróes</v>
      </c>
      <c r="C4" s="49">
        <f>IFERROR(__xludf.DUMMYFUNCTION("IFNA(FILTER(INGRESOS!H:H,INGRESOS!C:C=B1),0)"),400.0)</f>
        <v>400</v>
      </c>
      <c r="D4" s="48" t="str">
        <f>IFERROR(__xludf.DUMMYFUNCTION("IFNA(FILTER(INGRESOS!I:I,INGRESOS!C:C=B1),""-"")"),"Angel")</f>
        <v>Angel</v>
      </c>
      <c r="E4" s="49">
        <f>IFERROR(__xludf.DUMMYFUNCTION("IFNA(FILTER(INGRESOS!J:J,INGRESOS!C:C=B1),0)"),200.0)</f>
        <v>200</v>
      </c>
      <c r="F4" s="48" t="str">
        <f>IFERROR(__xludf.DUMMYFUNCTION("IFNA(FILTER(INGRESOS!K:K,INGRESOS!C:C=B1),""-"")"),"Carlos")</f>
        <v>Carlos</v>
      </c>
      <c r="H4" s="49">
        <f>IFERROR(__xludf.DUMMYFUNCTION("IFNA(FILTER(GASTOS!C:C,GASTOS!A:A=B1),0)"),0.0)</f>
        <v>0</v>
      </c>
      <c r="I4" s="48" t="str">
        <f>IFERROR(__xludf.DUMMYFUNCTION("IFNA(FILTER(GASTOS!B:B,GASTOS!A:A=B1),""-"")"),"-")</f>
        <v>-</v>
      </c>
      <c r="J4" s="48" t="str">
        <f>IFERROR(__xludf.DUMMYFUNCTION("IFNA(FILTER(GASTOS!D:D,GASTOS!A:A=B1),""-"")"),"-")</f>
        <v>-</v>
      </c>
      <c r="L4" s="50">
        <f>IFERROR(__xludf.DUMMYFUNCTION("ifna(FILTER(SALARIOS!H:H,SALARIOS!A:A=$B$1),0)"),240.0)</f>
        <v>240</v>
      </c>
      <c r="M4" s="48" t="str">
        <f>IFERROR(__xludf.DUMMYFUNCTION("IFNA(FILTER(SALARIOS!D:D,SALARIOS!A:A=$B$1),""-"")"),"Superheroes solo dejar y recoger")</f>
        <v>Superheroes solo dejar y recoger</v>
      </c>
      <c r="N4" s="48" t="str">
        <f>IFERROR(__xludf.DUMMYFUNCTION("IFNA(FILTER(SALARIOS!B:B,SALARIOS!A:A=$B$1),""-"")"),"Juan")</f>
        <v>Juan</v>
      </c>
      <c r="P4" s="44" t="s">
        <v>96</v>
      </c>
      <c r="Q4" s="45">
        <f>SUM(GASTOS[GASTOS])</f>
        <v>0</v>
      </c>
      <c r="S4" s="38" t="s">
        <v>101</v>
      </c>
      <c r="T4" s="46">
        <f>SUMIF(GASTOS[SOCIO],"Carlos",GASTOS[GASTOS])</f>
        <v>0</v>
      </c>
    </row>
    <row r="5" ht="22.5" customHeight="1">
      <c r="A5" s="47"/>
      <c r="B5" s="48"/>
      <c r="C5" s="49"/>
      <c r="D5" s="48"/>
      <c r="E5" s="49"/>
      <c r="F5" s="48"/>
      <c r="H5" s="49"/>
      <c r="I5" s="48"/>
      <c r="J5" s="48"/>
      <c r="L5" s="50"/>
      <c r="M5" s="48"/>
      <c r="N5" s="48"/>
      <c r="P5" s="44" t="s">
        <v>102</v>
      </c>
      <c r="Q5" s="45">
        <f>SUM(SALARIOS[Salario])</f>
        <v>240</v>
      </c>
      <c r="S5" s="38"/>
      <c r="T5" s="46"/>
    </row>
    <row r="6" ht="22.5" customHeight="1">
      <c r="A6" s="47"/>
      <c r="B6" s="48"/>
      <c r="C6" s="49"/>
      <c r="D6" s="48"/>
      <c r="E6" s="49"/>
      <c r="F6" s="48"/>
      <c r="H6" s="49"/>
      <c r="I6" s="48"/>
      <c r="J6" s="48"/>
      <c r="L6" s="50"/>
      <c r="M6" s="48"/>
      <c r="N6" s="48"/>
      <c r="P6" s="44" t="s">
        <v>103</v>
      </c>
      <c r="Q6" s="45">
        <f>Q5-T12-T13-T7</f>
        <v>240</v>
      </c>
      <c r="S6" s="38" t="s">
        <v>104</v>
      </c>
      <c r="T6" s="46">
        <f>SUMIF(GASTOS[SOCIO],"Angel",GASTOS[GASTOS])</f>
        <v>0</v>
      </c>
    </row>
    <row r="7" ht="22.5" customHeight="1">
      <c r="A7" s="47"/>
      <c r="B7" s="48"/>
      <c r="C7" s="49"/>
      <c r="D7" s="48"/>
      <c r="E7" s="49"/>
      <c r="F7" s="48"/>
      <c r="H7" s="49"/>
      <c r="I7" s="48"/>
      <c r="J7" s="48"/>
      <c r="L7" s="50"/>
      <c r="M7" s="48"/>
      <c r="N7" s="48"/>
      <c r="P7" s="44" t="s">
        <v>105</v>
      </c>
      <c r="Q7" s="45">
        <f>Q4+Q5</f>
        <v>240</v>
      </c>
      <c r="S7" s="38" t="s">
        <v>106</v>
      </c>
      <c r="T7" s="46">
        <f>SUMIF(SALARIOS[Trabajador],"Sebastián",SALARIOS[Salario])</f>
        <v>0</v>
      </c>
    </row>
    <row r="8" ht="22.5" customHeight="1">
      <c r="A8" s="47"/>
      <c r="B8" s="48"/>
      <c r="C8" s="49"/>
      <c r="D8" s="48"/>
      <c r="E8" s="49"/>
      <c r="F8" s="48"/>
      <c r="H8" s="49"/>
      <c r="I8" s="48"/>
      <c r="J8" s="48"/>
      <c r="L8" s="50"/>
      <c r="M8" s="48"/>
      <c r="N8" s="48"/>
      <c r="P8" s="44" t="s">
        <v>107</v>
      </c>
      <c r="Q8" s="45">
        <f>Q3-Q7</f>
        <v>360</v>
      </c>
      <c r="S8" s="38" t="s">
        <v>108</v>
      </c>
      <c r="T8" s="46">
        <f>Q6-T7</f>
        <v>240</v>
      </c>
    </row>
    <row r="9" ht="22.5" customHeight="1">
      <c r="A9" s="47"/>
      <c r="B9" s="48"/>
      <c r="C9" s="49"/>
      <c r="D9" s="48"/>
      <c r="E9" s="49"/>
      <c r="F9" s="48"/>
      <c r="H9" s="49"/>
      <c r="I9" s="48"/>
      <c r="J9" s="48"/>
      <c r="L9" s="50"/>
      <c r="M9" s="48"/>
      <c r="N9" s="48"/>
      <c r="P9" s="44" t="s">
        <v>109</v>
      </c>
      <c r="Q9" s="45">
        <f>Q8/2</f>
        <v>180</v>
      </c>
      <c r="S9" s="38" t="s">
        <v>110</v>
      </c>
      <c r="T9" s="46">
        <f>SUMIF(INGRESOS[RECIBIÓ ANTICIPO],"Sebastián",INGRESOS[ANTICIPO])+SUMIF(INGRESOS[RECIBIÓ LIQUIDACIÓN],"Sebastián",INGRESOS[LIQUIDACIÓN])</f>
        <v>0</v>
      </c>
    </row>
    <row r="10" ht="22.5" customHeight="1">
      <c r="A10" s="47"/>
      <c r="B10" s="48"/>
      <c r="C10" s="49"/>
      <c r="D10" s="48"/>
      <c r="E10" s="49"/>
      <c r="F10" s="48"/>
      <c r="H10" s="49"/>
      <c r="I10" s="48"/>
      <c r="J10" s="48"/>
      <c r="L10" s="50"/>
      <c r="M10" s="48"/>
      <c r="N10" s="48"/>
      <c r="P10" s="44" t="s">
        <v>111</v>
      </c>
      <c r="Q10" s="51">
        <f>Q9+T7+T3-T9+Q6</f>
        <v>420</v>
      </c>
      <c r="S10" s="38" t="s">
        <v>112</v>
      </c>
      <c r="T10" s="46">
        <f>SUMIF(INGRESOS[RECIBIÓ ANTICIPO],"Carlos",INGRESOS[ANTICIPO])+SUMIF(INGRESOS[RECIBIÓ LIQUIDACIÓN],"Carlos",INGRESOS[LIQUIDACIÓN])</f>
        <v>200</v>
      </c>
    </row>
    <row r="11" ht="22.5" customHeight="1">
      <c r="A11" s="47"/>
      <c r="B11" s="48"/>
      <c r="C11" s="49"/>
      <c r="D11" s="48"/>
      <c r="E11" s="49"/>
      <c r="F11" s="48"/>
      <c r="H11" s="49"/>
      <c r="I11" s="48"/>
      <c r="J11" s="48"/>
      <c r="L11" s="50"/>
      <c r="M11" s="48"/>
      <c r="N11" s="48"/>
      <c r="P11" s="44" t="s">
        <v>113</v>
      </c>
      <c r="Q11" s="51">
        <f>Q9+T4+T6-T10-T11+T12+T13</f>
        <v>-420</v>
      </c>
      <c r="S11" s="38" t="s">
        <v>114</v>
      </c>
      <c r="T11" s="46">
        <f>SUMIF(INGRESOS[RECIBIÓ ANTICIPO],"Angel",INGRESOS[ANTICIPO])+SUMIF(INGRESOS[RECIBIÓ LIQUIDACIÓN],"Angel",INGRESOS[LIQUIDACIÓN])</f>
        <v>400</v>
      </c>
    </row>
    <row r="12" ht="22.5" customHeight="1">
      <c r="A12" s="47"/>
      <c r="B12" s="48"/>
      <c r="C12" s="49"/>
      <c r="D12" s="48"/>
      <c r="E12" s="49"/>
      <c r="F12" s="48"/>
      <c r="H12" s="49"/>
      <c r="I12" s="48"/>
      <c r="J12" s="48"/>
      <c r="L12" s="50"/>
      <c r="M12" s="48"/>
      <c r="N12" s="48"/>
      <c r="P12" s="44" t="s">
        <v>115</v>
      </c>
      <c r="Q12" s="52">
        <f>(Q8/Q3)</f>
        <v>0.6</v>
      </c>
      <c r="S12" s="38" t="s">
        <v>116</v>
      </c>
      <c r="T12" s="46">
        <f>SUMIF(SALARIOS[Trabajador],"Angel",SALARIOS[Salario])</f>
        <v>0</v>
      </c>
    </row>
    <row r="13" ht="22.5" customHeight="1">
      <c r="A13" s="47"/>
      <c r="B13" s="48"/>
      <c r="C13" s="49"/>
      <c r="D13" s="48"/>
      <c r="E13" s="49"/>
      <c r="F13" s="48"/>
      <c r="H13" s="49"/>
      <c r="I13" s="48"/>
      <c r="J13" s="48"/>
      <c r="L13" s="50"/>
      <c r="M13" s="48"/>
      <c r="N13" s="48"/>
      <c r="S13" s="38" t="s">
        <v>117</v>
      </c>
      <c r="T13" s="46">
        <f>SUMIF(SALARIOS[Trabajador],"Carlos",SALARIOS[Salario])</f>
        <v>0</v>
      </c>
    </row>
    <row r="14" ht="22.5" customHeight="1">
      <c r="A14" s="47"/>
      <c r="B14" s="48"/>
      <c r="C14" s="49"/>
      <c r="D14" s="48"/>
      <c r="E14" s="49"/>
      <c r="F14" s="48"/>
      <c r="H14" s="49"/>
      <c r="I14" s="48"/>
      <c r="J14" s="48"/>
      <c r="L14" s="50"/>
      <c r="M14" s="48"/>
      <c r="N14" s="48"/>
    </row>
    <row r="15" ht="22.5" customHeight="1">
      <c r="A15" s="47"/>
      <c r="B15" s="48"/>
      <c r="C15" s="49"/>
      <c r="D15" s="48"/>
      <c r="E15" s="49"/>
      <c r="F15" s="48"/>
      <c r="H15" s="49"/>
      <c r="I15" s="48"/>
      <c r="J15" s="48"/>
      <c r="L15" s="50"/>
      <c r="M15" s="48"/>
      <c r="N15" s="48"/>
    </row>
    <row r="16" ht="22.5" customHeight="1">
      <c r="A16" s="47"/>
      <c r="B16" s="48"/>
      <c r="C16" s="49"/>
      <c r="D16" s="48"/>
      <c r="E16" s="49"/>
      <c r="F16" s="48"/>
      <c r="H16" s="49"/>
      <c r="I16" s="48"/>
      <c r="J16" s="48"/>
      <c r="L16" s="50"/>
      <c r="M16" s="48"/>
      <c r="N16" s="48"/>
      <c r="P16" s="53" t="s">
        <v>118</v>
      </c>
      <c r="Q16" s="40"/>
      <c r="S16" s="38" t="s">
        <v>119</v>
      </c>
      <c r="T16" s="38" t="s">
        <v>120</v>
      </c>
    </row>
    <row r="17" ht="22.5" customHeight="1">
      <c r="A17" s="47"/>
      <c r="B17" s="48"/>
      <c r="C17" s="49"/>
      <c r="D17" s="48"/>
      <c r="E17" s="49"/>
      <c r="F17" s="48"/>
      <c r="H17" s="49"/>
      <c r="I17" s="48"/>
      <c r="J17" s="48"/>
      <c r="L17" s="50"/>
      <c r="M17" s="48"/>
      <c r="N17" s="48"/>
      <c r="P17" s="54"/>
      <c r="Q17" s="54"/>
      <c r="S17" s="38"/>
      <c r="T17" s="38"/>
    </row>
    <row r="18" ht="22.5" customHeight="1">
      <c r="L18" s="50"/>
      <c r="M18" s="48"/>
      <c r="N18" s="48"/>
      <c r="P18" s="55" t="s">
        <v>121</v>
      </c>
      <c r="Q18" s="56">
        <f>Q9</f>
        <v>180</v>
      </c>
      <c r="S18" s="38">
        <v>209.0</v>
      </c>
      <c r="T18" s="38">
        <v>350.0</v>
      </c>
    </row>
    <row r="19" ht="22.5" customHeight="1">
      <c r="L19" s="50"/>
      <c r="M19" s="48"/>
      <c r="N19" s="48"/>
      <c r="P19" s="55" t="s">
        <v>122</v>
      </c>
      <c r="Q19" s="56">
        <f>Q18/2</f>
        <v>90</v>
      </c>
      <c r="S19" s="38">
        <v>1540.0</v>
      </c>
      <c r="T19" s="38">
        <v>603.0</v>
      </c>
    </row>
    <row r="20" ht="22.5" customHeight="1">
      <c r="L20" s="50"/>
      <c r="M20" s="48"/>
      <c r="N20" s="48"/>
      <c r="P20" s="57" t="s">
        <v>123</v>
      </c>
      <c r="Q20" s="56">
        <f>T10</f>
        <v>200</v>
      </c>
      <c r="S20" s="38">
        <v>3147.0</v>
      </c>
      <c r="T20" s="38">
        <v>225.5</v>
      </c>
    </row>
    <row r="21" ht="22.5" customHeight="1">
      <c r="L21" s="50"/>
      <c r="M21" s="48"/>
      <c r="N21" s="48"/>
      <c r="P21" s="57" t="s">
        <v>124</v>
      </c>
      <c r="Q21" s="56">
        <f>T11+Q11</f>
        <v>-20</v>
      </c>
      <c r="S21" s="58">
        <f>SUM(S18:S20)</f>
        <v>4896</v>
      </c>
      <c r="T21" s="38">
        <v>1500.0</v>
      </c>
      <c r="V21" s="58">
        <f>S21-T23</f>
        <v>-1927.5</v>
      </c>
    </row>
    <row r="22" ht="22.5" customHeight="1">
      <c r="L22" s="50"/>
      <c r="M22" s="48"/>
      <c r="N22" s="48"/>
      <c r="P22" s="57" t="s">
        <v>125</v>
      </c>
      <c r="Q22" s="56">
        <f>T4</f>
        <v>0</v>
      </c>
      <c r="T22" s="38">
        <v>4145.0</v>
      </c>
    </row>
    <row r="23" ht="22.5" customHeight="1">
      <c r="L23" s="50"/>
      <c r="M23" s="48"/>
      <c r="N23" s="48"/>
      <c r="P23" s="57" t="s">
        <v>104</v>
      </c>
      <c r="Q23" s="56">
        <f>T6</f>
        <v>0</v>
      </c>
      <c r="T23" s="58">
        <f>SUM(T18:T22)</f>
        <v>6823.5</v>
      </c>
    </row>
    <row r="24" ht="22.5" customHeight="1">
      <c r="L24" s="50"/>
      <c r="M24" s="48"/>
      <c r="N24" s="48"/>
      <c r="P24" s="57" t="s">
        <v>117</v>
      </c>
      <c r="Q24" s="59">
        <f>T13</f>
        <v>0</v>
      </c>
    </row>
    <row r="25" ht="22.5" customHeight="1">
      <c r="L25" s="50"/>
      <c r="M25" s="48"/>
      <c r="N25" s="48"/>
      <c r="P25" s="57" t="s">
        <v>116</v>
      </c>
      <c r="Q25" s="59">
        <f>T12</f>
        <v>0</v>
      </c>
    </row>
    <row r="26" ht="22.5" customHeight="1">
      <c r="L26" s="50"/>
      <c r="M26" s="48"/>
      <c r="N26" s="48"/>
      <c r="P26" s="57" t="s">
        <v>126</v>
      </c>
      <c r="Q26" s="59">
        <v>0.0</v>
      </c>
    </row>
    <row r="27" ht="22.5" customHeight="1">
      <c r="L27" s="50"/>
      <c r="M27" s="48"/>
      <c r="N27" s="48"/>
      <c r="P27" s="57" t="s">
        <v>127</v>
      </c>
      <c r="Q27" s="59">
        <v>0.0</v>
      </c>
    </row>
    <row r="28" ht="22.5" customHeight="1">
      <c r="L28" s="50"/>
      <c r="M28" s="48"/>
      <c r="N28" s="48"/>
      <c r="P28" s="60" t="s">
        <v>128</v>
      </c>
      <c r="Q28" s="61">
        <f>Q19+Q24+Q27+Q22-Q20</f>
        <v>-110</v>
      </c>
    </row>
    <row r="29" ht="22.5" customHeight="1">
      <c r="L29" s="50"/>
      <c r="M29" s="48"/>
      <c r="N29" s="48"/>
      <c r="P29" s="60" t="s">
        <v>129</v>
      </c>
      <c r="Q29" s="61">
        <f>Q19+Q25+Q26+Q23-Q21</f>
        <v>110</v>
      </c>
    </row>
    <row r="30" ht="22.5" customHeight="1">
      <c r="L30" s="50"/>
      <c r="M30" s="48"/>
      <c r="N30" s="48"/>
      <c r="Q30" s="46"/>
    </row>
    <row r="31" ht="22.5" customHeight="1">
      <c r="L31" s="50"/>
      <c r="M31" s="48"/>
      <c r="N31" s="48"/>
    </row>
    <row r="32" ht="22.5" customHeight="1">
      <c r="L32" s="50"/>
      <c r="M32" s="48"/>
      <c r="N32" s="48"/>
    </row>
    <row r="33" ht="22.5" customHeight="1">
      <c r="L33" s="50"/>
      <c r="M33" s="48"/>
      <c r="N33" s="48"/>
    </row>
    <row r="34" ht="22.5" customHeight="1">
      <c r="L34" s="50"/>
      <c r="M34" s="48"/>
      <c r="N34" s="48"/>
    </row>
    <row r="35" ht="22.5" customHeight="1">
      <c r="L35" s="50"/>
      <c r="M35" s="48"/>
      <c r="N35" s="48"/>
    </row>
    <row r="36" ht="22.5" customHeight="1">
      <c r="L36" s="50"/>
      <c r="M36" s="48"/>
      <c r="N36" s="48"/>
    </row>
    <row r="37" ht="22.5" customHeight="1">
      <c r="L37" s="50"/>
      <c r="M37" s="48"/>
      <c r="N37" s="48"/>
    </row>
    <row r="38" ht="22.5" customHeight="1">
      <c r="L38" s="50"/>
      <c r="M38" s="48"/>
      <c r="N38" s="48"/>
    </row>
    <row r="39" ht="22.5" customHeight="1">
      <c r="L39" s="50"/>
      <c r="M39" s="48"/>
      <c r="N39" s="48"/>
    </row>
    <row r="40" ht="22.5" customHeight="1">
      <c r="L40" s="50"/>
      <c r="M40" s="48"/>
      <c r="N40" s="48"/>
    </row>
    <row r="41" ht="22.5" customHeight="1">
      <c r="L41" s="50"/>
      <c r="M41" s="48"/>
      <c r="N41" s="48"/>
    </row>
    <row r="42" ht="22.5" customHeight="1">
      <c r="L42" s="50"/>
      <c r="M42" s="48"/>
      <c r="N42" s="48"/>
    </row>
    <row r="43" ht="22.5" customHeight="1">
      <c r="L43" s="50"/>
      <c r="M43" s="48"/>
      <c r="N43" s="48"/>
    </row>
    <row r="44" ht="22.5" customHeight="1">
      <c r="L44" s="50"/>
      <c r="M44" s="48"/>
      <c r="N44" s="48"/>
    </row>
    <row r="45" ht="22.5" customHeight="1">
      <c r="L45" s="50"/>
      <c r="M45" s="48"/>
      <c r="N45" s="48"/>
    </row>
    <row r="46" ht="22.5" customHeight="1">
      <c r="L46" s="50"/>
      <c r="M46" s="48"/>
      <c r="N46" s="48"/>
    </row>
    <row r="47" ht="22.5" customHeight="1">
      <c r="L47" s="50"/>
      <c r="M47" s="48"/>
      <c r="N47" s="48"/>
    </row>
    <row r="48" ht="22.5" customHeight="1">
      <c r="L48" s="50"/>
      <c r="M48" s="48"/>
      <c r="N48" s="48"/>
    </row>
    <row r="49" ht="22.5" customHeight="1">
      <c r="L49" s="50"/>
      <c r="M49" s="48"/>
      <c r="N49" s="48"/>
    </row>
    <row r="50" ht="22.5" customHeight="1">
      <c r="L50" s="50"/>
      <c r="M50" s="48"/>
      <c r="N50" s="48"/>
    </row>
    <row r="51" ht="22.5" customHeight="1">
      <c r="L51" s="50"/>
      <c r="M51" s="48"/>
      <c r="N51" s="48"/>
    </row>
    <row r="52" ht="22.5" customHeight="1">
      <c r="L52" s="50"/>
      <c r="M52" s="48"/>
      <c r="N52" s="48"/>
    </row>
    <row r="53" ht="22.5" customHeight="1">
      <c r="L53" s="50"/>
      <c r="M53" s="48"/>
      <c r="N53" s="48"/>
    </row>
  </sheetData>
  <mergeCells count="3">
    <mergeCell ref="B1:D1"/>
    <mergeCell ref="P2:Q2"/>
    <mergeCell ref="P16:Q16"/>
  </mergeCells>
  <conditionalFormatting sqref="Q10">
    <cfRule type="cellIs" dxfId="9" priority="1" operator="greaterThanOrEqual">
      <formula>0</formula>
    </cfRule>
  </conditionalFormatting>
  <conditionalFormatting sqref="Q10">
    <cfRule type="cellIs" dxfId="10" priority="2" operator="lessThan">
      <formula>0</formula>
    </cfRule>
  </conditionalFormatting>
  <conditionalFormatting sqref="Q11">
    <cfRule type="cellIs" dxfId="9" priority="3" operator="greaterThanOrEqual">
      <formula>0</formula>
    </cfRule>
  </conditionalFormatting>
  <conditionalFormatting sqref="Q11">
    <cfRule type="cellIs" dxfId="10" priority="4" operator="lessThan">
      <formula>0</formula>
    </cfRule>
  </conditionalFormatting>
  <conditionalFormatting sqref="Q28">
    <cfRule type="cellIs" dxfId="11" priority="5" operator="greaterThan">
      <formula>0</formula>
    </cfRule>
  </conditionalFormatting>
  <conditionalFormatting sqref="Q28">
    <cfRule type="cellIs" dxfId="12" priority="6" operator="lessThan">
      <formula>0</formula>
    </cfRule>
  </conditionalFormatting>
  <conditionalFormatting sqref="Q29">
    <cfRule type="cellIs" dxfId="11" priority="7" operator="greaterThan">
      <formula>0</formula>
    </cfRule>
  </conditionalFormatting>
  <conditionalFormatting sqref="Q29">
    <cfRule type="cellIs" dxfId="10" priority="8" operator="lessThan">
      <formula>0</formula>
    </cfRule>
  </conditionalFormatting>
  <conditionalFormatting sqref="B1:D1">
    <cfRule type="notContainsBlanks" dxfId="11" priority="9">
      <formula>LEN(TRIM(B1))&gt;0</formula>
    </cfRule>
  </conditionalFormatting>
  <dataValidations>
    <dataValidation type="list" allowBlank="1" showErrorMessage="1" sqref="B1">
      <formula1>INGRESOS!$C$2:$C$2191</formula1>
    </dataValidation>
    <dataValidation type="custom" allowBlank="1" showDropDown="1" sqref="A4:A17 C4:C17 E4:E17 H4:H17 L4:L53">
      <formula1>AND(ISNUMBER(A4),(NOT(OR(NOT(ISERROR(DATEVALUE(A4))), AND(ISNUMBER(A4), LEFT(CELL("format", A4))="D")))))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3" max="3" width="14.0"/>
    <col customWidth="1" min="4" max="4" width="20.13"/>
    <col customWidth="1" min="5" max="5" width="14.5"/>
    <col customWidth="1" min="6" max="6" width="13.38"/>
    <col customWidth="1" min="7" max="7" width="18.13"/>
    <col customWidth="1" min="8" max="8" width="12.88"/>
    <col customWidth="1" min="10" max="10" width="18.75"/>
    <col customWidth="1" min="12" max="12" width="14.63"/>
  </cols>
  <sheetData>
    <row r="1" ht="22.5" customHeight="1">
      <c r="A1" s="62" t="s">
        <v>130</v>
      </c>
      <c r="B1" s="62" t="s">
        <v>131</v>
      </c>
      <c r="C1" s="63" t="s">
        <v>132</v>
      </c>
      <c r="D1" s="62" t="s">
        <v>133</v>
      </c>
      <c r="E1" s="62" t="s">
        <v>134</v>
      </c>
      <c r="F1" s="64" t="s">
        <v>135</v>
      </c>
      <c r="G1" s="64" t="s">
        <v>136</v>
      </c>
      <c r="H1" s="65" t="s">
        <v>92</v>
      </c>
      <c r="I1" s="62" t="s">
        <v>93</v>
      </c>
      <c r="J1" s="65" t="s">
        <v>94</v>
      </c>
      <c r="K1" s="62" t="s">
        <v>137</v>
      </c>
      <c r="L1" s="62" t="s">
        <v>138</v>
      </c>
      <c r="M1" s="66" t="s">
        <v>7</v>
      </c>
      <c r="N1" s="66" t="s">
        <v>139</v>
      </c>
    </row>
    <row r="2" ht="22.5" customHeight="1">
      <c r="A2" s="67" t="str">
        <f t="array" ref="A2">XLOOKUP(B2,SERVICIOS!B:B,SERVICIOS!A:A,"")</f>
        <v>S01</v>
      </c>
      <c r="B2" s="68" t="s">
        <v>140</v>
      </c>
      <c r="C2" s="69">
        <v>45955.0</v>
      </c>
      <c r="D2" s="70" t="s">
        <v>141</v>
      </c>
      <c r="E2" s="71">
        <f t="array" ref="E2">XLOOKUP($D:$D,LISTA_SERVICIOS,LISTA_PRECIOS,0)</f>
        <v>2200</v>
      </c>
      <c r="F2" s="72">
        <v>0.0</v>
      </c>
      <c r="G2" s="73">
        <v>200.0</v>
      </c>
      <c r="H2" s="74">
        <v>0.0</v>
      </c>
      <c r="I2" s="75"/>
      <c r="J2" s="74">
        <f t="shared" ref="J2:J183" si="1">E2+F2-G2-H2</f>
        <v>2000</v>
      </c>
      <c r="K2" s="70" t="s">
        <v>51</v>
      </c>
      <c r="L2" s="71">
        <f t="shared" ref="L2:L282" si="2">E2+F2-G2</f>
        <v>2000</v>
      </c>
      <c r="M2" s="76" t="str">
        <f t="shared" ref="M2:M282" si="3">IF(C2="","",TEXT(C2,"mmmm"))</f>
        <v>octubre</v>
      </c>
      <c r="N2" s="76">
        <f t="shared" ref="N2:N282" si="4">IF(C2="","",YEAR(C2))</f>
        <v>2025</v>
      </c>
    </row>
    <row r="3" ht="22.5" customHeight="1">
      <c r="A3" s="67" t="str">
        <f t="array" ref="A3">XLOOKUP(B3,SERVICIOS!B:B,SERVICIOS!A:A,"")</f>
        <v>S03</v>
      </c>
      <c r="B3" s="68" t="s">
        <v>142</v>
      </c>
      <c r="C3" s="69">
        <v>45955.0</v>
      </c>
      <c r="D3" s="70" t="s">
        <v>39</v>
      </c>
      <c r="E3" s="71">
        <f t="array" ref="E3">XLOOKUP($D:$D,LISTA_SERVICIOS,LISTA_PRECIOS,0)</f>
        <v>2800</v>
      </c>
      <c r="F3" s="72">
        <v>0.0</v>
      </c>
      <c r="G3" s="73">
        <v>2180.0</v>
      </c>
      <c r="H3" s="74">
        <v>0.0</v>
      </c>
      <c r="I3" s="75"/>
      <c r="J3" s="74">
        <f t="shared" si="1"/>
        <v>620</v>
      </c>
      <c r="K3" s="70" t="s">
        <v>51</v>
      </c>
      <c r="L3" s="71">
        <f t="shared" si="2"/>
        <v>620</v>
      </c>
      <c r="M3" s="76" t="str">
        <f t="shared" si="3"/>
        <v>octubre</v>
      </c>
      <c r="N3" s="76">
        <f t="shared" si="4"/>
        <v>2025</v>
      </c>
    </row>
    <row r="4" ht="22.5" customHeight="1">
      <c r="A4" s="67" t="str">
        <f t="array" ref="A4">XLOOKUP(B4,SERVICIOS!B:B,SERVICIOS!A:A,"")</f>
        <v>S02</v>
      </c>
      <c r="B4" s="68" t="s">
        <v>143</v>
      </c>
      <c r="C4" s="69">
        <v>45955.0</v>
      </c>
      <c r="D4" s="70" t="s">
        <v>53</v>
      </c>
      <c r="E4" s="71">
        <f t="array" ref="E4">XLOOKUP($D:$D,LISTA_SERVICIOS,LISTA_PRECIOS,0)</f>
        <v>650</v>
      </c>
      <c r="F4" s="72">
        <v>0.0</v>
      </c>
      <c r="G4" s="73">
        <v>0.0</v>
      </c>
      <c r="H4" s="74">
        <v>500.0</v>
      </c>
      <c r="I4" s="70" t="s">
        <v>46</v>
      </c>
      <c r="J4" s="74">
        <f t="shared" si="1"/>
        <v>150</v>
      </c>
      <c r="K4" s="70" t="s">
        <v>56</v>
      </c>
      <c r="L4" s="71">
        <f t="shared" si="2"/>
        <v>650</v>
      </c>
      <c r="M4" s="76" t="str">
        <f t="shared" si="3"/>
        <v>octubre</v>
      </c>
      <c r="N4" s="76">
        <f t="shared" si="4"/>
        <v>2025</v>
      </c>
    </row>
    <row r="5" ht="22.5" customHeight="1">
      <c r="A5" s="67" t="str">
        <f t="array" ref="A5">XLOOKUP(B5,SERVICIOS!B:B,SERVICIOS!A:A,"")</f>
        <v>S02</v>
      </c>
      <c r="B5" s="68" t="s">
        <v>143</v>
      </c>
      <c r="C5" s="69">
        <v>45955.0</v>
      </c>
      <c r="D5" s="70" t="s">
        <v>58</v>
      </c>
      <c r="E5" s="71">
        <f t="array" ref="E5">XLOOKUP($D:$D,LISTA_SERVICIOS,LISTA_PRECIOS,0)</f>
        <v>650</v>
      </c>
      <c r="F5" s="72">
        <v>0.0</v>
      </c>
      <c r="G5" s="73">
        <v>0.0</v>
      </c>
      <c r="H5" s="74">
        <v>0.0</v>
      </c>
      <c r="I5" s="75"/>
      <c r="J5" s="74">
        <f t="shared" si="1"/>
        <v>650</v>
      </c>
      <c r="K5" s="70" t="s">
        <v>56</v>
      </c>
      <c r="L5" s="71">
        <f t="shared" si="2"/>
        <v>650</v>
      </c>
      <c r="M5" s="76" t="str">
        <f t="shared" si="3"/>
        <v>octubre</v>
      </c>
      <c r="N5" s="76">
        <f t="shared" si="4"/>
        <v>2025</v>
      </c>
    </row>
    <row r="6" ht="22.5" customHeight="1">
      <c r="A6" s="67" t="str">
        <f t="array" ref="A6">XLOOKUP(B6,SERVICIOS!B:B,SERVICIOS!A:A,"")</f>
        <v>S02</v>
      </c>
      <c r="B6" s="68" t="s">
        <v>143</v>
      </c>
      <c r="C6" s="69">
        <v>45955.0</v>
      </c>
      <c r="D6" s="70" t="s">
        <v>78</v>
      </c>
      <c r="E6" s="71">
        <f t="array" ref="E6">XLOOKUP($D:$D,LISTA_SERVICIOS,LISTA_PRECIOS,0)</f>
        <v>1000</v>
      </c>
      <c r="F6" s="72">
        <v>0.0</v>
      </c>
      <c r="G6" s="73">
        <v>0.0</v>
      </c>
      <c r="H6" s="74">
        <v>0.0</v>
      </c>
      <c r="I6" s="75"/>
      <c r="J6" s="74">
        <f t="shared" si="1"/>
        <v>1000</v>
      </c>
      <c r="K6" s="70" t="s">
        <v>46</v>
      </c>
      <c r="L6" s="71">
        <f t="shared" si="2"/>
        <v>1000</v>
      </c>
      <c r="M6" s="76" t="str">
        <f t="shared" si="3"/>
        <v>octubre</v>
      </c>
      <c r="N6" s="76">
        <f t="shared" si="4"/>
        <v>2025</v>
      </c>
    </row>
    <row r="7" ht="22.5" customHeight="1">
      <c r="A7" s="67" t="str">
        <f t="array" ref="A7">XLOOKUP(B7,SERVICIOS!B:B,SERVICIOS!A:A,"")</f>
        <v>S02</v>
      </c>
      <c r="B7" s="68" t="s">
        <v>143</v>
      </c>
      <c r="C7" s="69">
        <v>45955.0</v>
      </c>
      <c r="D7" s="70" t="s">
        <v>75</v>
      </c>
      <c r="E7" s="71">
        <f t="array" ref="E7">XLOOKUP($D:$D,LISTA_SERVICIOS,LISTA_PRECIOS,0)</f>
        <v>800</v>
      </c>
      <c r="F7" s="72">
        <v>0.0</v>
      </c>
      <c r="G7" s="73">
        <v>100.0</v>
      </c>
      <c r="H7" s="74">
        <v>210.0</v>
      </c>
      <c r="I7" s="70" t="s">
        <v>46</v>
      </c>
      <c r="J7" s="74">
        <f t="shared" si="1"/>
        <v>490</v>
      </c>
      <c r="K7" s="70" t="s">
        <v>56</v>
      </c>
      <c r="L7" s="71">
        <f t="shared" si="2"/>
        <v>700</v>
      </c>
      <c r="M7" s="76" t="str">
        <f t="shared" si="3"/>
        <v>octubre</v>
      </c>
      <c r="N7" s="76">
        <f t="shared" si="4"/>
        <v>2025</v>
      </c>
    </row>
    <row r="8" ht="22.5" customHeight="1">
      <c r="A8" s="67" t="str">
        <f t="array" ref="A8">XLOOKUP(B8,SERVICIOS!B:B,SERVICIOS!A:A,"")</f>
        <v>S02</v>
      </c>
      <c r="B8" s="68" t="s">
        <v>143</v>
      </c>
      <c r="C8" s="69">
        <v>45955.0</v>
      </c>
      <c r="D8" s="70" t="s">
        <v>38</v>
      </c>
      <c r="E8" s="71">
        <f t="array" ref="E8">XLOOKUP($D:$D,LISTA_SERVICIOS,LISTA_PRECIOS,0)</f>
        <v>600</v>
      </c>
      <c r="F8" s="72">
        <v>0.0</v>
      </c>
      <c r="G8" s="73">
        <v>0.0</v>
      </c>
      <c r="H8" s="74">
        <v>0.0</v>
      </c>
      <c r="I8" s="75"/>
      <c r="J8" s="74">
        <f t="shared" si="1"/>
        <v>600</v>
      </c>
      <c r="K8" s="70" t="s">
        <v>46</v>
      </c>
      <c r="L8" s="71">
        <f t="shared" si="2"/>
        <v>600</v>
      </c>
      <c r="M8" s="76" t="str">
        <f t="shared" si="3"/>
        <v>octubre</v>
      </c>
      <c r="N8" s="76">
        <f t="shared" si="4"/>
        <v>2025</v>
      </c>
    </row>
    <row r="9" ht="22.5" customHeight="1">
      <c r="A9" s="67" t="str">
        <f t="array" ref="A9">XLOOKUP(B9,SERVICIOS!B:B,SERVICIOS!A:A,"")</f>
        <v>S02</v>
      </c>
      <c r="B9" s="68" t="s">
        <v>143</v>
      </c>
      <c r="C9" s="69">
        <v>45955.0</v>
      </c>
      <c r="D9" s="70" t="s">
        <v>63</v>
      </c>
      <c r="E9" s="71">
        <f t="array" ref="E9">XLOOKUP($D:$D,LISTA_SERVICIOS,LISTA_PRECIOS,0)</f>
        <v>800</v>
      </c>
      <c r="F9" s="72">
        <v>100.0</v>
      </c>
      <c r="G9" s="73">
        <v>0.0</v>
      </c>
      <c r="H9" s="74">
        <v>0.0</v>
      </c>
      <c r="I9" s="75"/>
      <c r="J9" s="74">
        <f t="shared" si="1"/>
        <v>900</v>
      </c>
      <c r="K9" s="70" t="s">
        <v>46</v>
      </c>
      <c r="L9" s="71">
        <f t="shared" si="2"/>
        <v>900</v>
      </c>
      <c r="M9" s="76" t="str">
        <f t="shared" si="3"/>
        <v>octubre</v>
      </c>
      <c r="N9" s="76">
        <f t="shared" si="4"/>
        <v>2025</v>
      </c>
    </row>
    <row r="10" ht="22.5" customHeight="1">
      <c r="A10" s="67" t="str">
        <f t="array" ref="A10">XLOOKUP(B10,SERVICIOS!B:B,SERVICIOS!A:A,"")</f>
        <v>S02</v>
      </c>
      <c r="B10" s="68" t="s">
        <v>143</v>
      </c>
      <c r="C10" s="69">
        <v>45955.0</v>
      </c>
      <c r="D10" s="70" t="s">
        <v>43</v>
      </c>
      <c r="E10" s="71">
        <f t="array" ref="E10">XLOOKUP($D:$D,LISTA_SERVICIOS,LISTA_PRECIOS,0)</f>
        <v>600</v>
      </c>
      <c r="F10" s="72">
        <v>0.0</v>
      </c>
      <c r="G10" s="73">
        <v>0.0</v>
      </c>
      <c r="H10" s="74">
        <v>0.0</v>
      </c>
      <c r="I10" s="75"/>
      <c r="J10" s="74">
        <f t="shared" si="1"/>
        <v>600</v>
      </c>
      <c r="K10" s="70" t="s">
        <v>46</v>
      </c>
      <c r="L10" s="71">
        <f t="shared" si="2"/>
        <v>600</v>
      </c>
      <c r="M10" s="76" t="str">
        <f t="shared" si="3"/>
        <v>octubre</v>
      </c>
      <c r="N10" s="76">
        <f t="shared" si="4"/>
        <v>2025</v>
      </c>
    </row>
    <row r="11" ht="22.5" customHeight="1">
      <c r="A11" s="67" t="str">
        <f t="array" ref="A11">XLOOKUP(B11,SERVICIOS!B:B,SERVICIOS!A:A,"")</f>
        <v>S03</v>
      </c>
      <c r="B11" s="68" t="s">
        <v>142</v>
      </c>
      <c r="C11" s="69">
        <v>45955.0</v>
      </c>
      <c r="D11" s="70" t="s">
        <v>69</v>
      </c>
      <c r="E11" s="71">
        <f t="array" ref="E11">XLOOKUP($D:$D,LISTA_SERVICIOS,LISTA_PRECIOS,0)</f>
        <v>6000</v>
      </c>
      <c r="F11" s="72">
        <v>3000.0</v>
      </c>
      <c r="G11" s="73">
        <v>0.0</v>
      </c>
      <c r="H11" s="74">
        <v>1500.0</v>
      </c>
      <c r="I11" s="70" t="s">
        <v>51</v>
      </c>
      <c r="J11" s="74">
        <f t="shared" si="1"/>
        <v>7500</v>
      </c>
      <c r="K11" s="70" t="s">
        <v>51</v>
      </c>
      <c r="L11" s="71">
        <f t="shared" si="2"/>
        <v>9000</v>
      </c>
      <c r="M11" s="76" t="str">
        <f t="shared" si="3"/>
        <v>octubre</v>
      </c>
      <c r="N11" s="76">
        <f t="shared" si="4"/>
        <v>2025</v>
      </c>
    </row>
    <row r="12" ht="22.5" customHeight="1">
      <c r="A12" s="67" t="str">
        <f t="array" ref="A12">XLOOKUP(B12,SERVICIOS!B:B,SERVICIOS!A:A,"")</f>
        <v>S01</v>
      </c>
      <c r="B12" s="68" t="s">
        <v>140</v>
      </c>
      <c r="C12" s="69">
        <v>45955.0</v>
      </c>
      <c r="D12" s="70" t="s">
        <v>141</v>
      </c>
      <c r="E12" s="71">
        <f t="array" ref="E12">XLOOKUP($D:$D,LISTA_SERVICIOS,LISTA_PRECIOS,0)</f>
        <v>2200</v>
      </c>
      <c r="F12" s="72">
        <v>0.0</v>
      </c>
      <c r="G12" s="73">
        <v>200.0</v>
      </c>
      <c r="H12" s="74">
        <v>600.0</v>
      </c>
      <c r="I12" s="70" t="s">
        <v>46</v>
      </c>
      <c r="J12" s="74">
        <f t="shared" si="1"/>
        <v>1400</v>
      </c>
      <c r="K12" s="70" t="s">
        <v>56</v>
      </c>
      <c r="L12" s="71">
        <f t="shared" si="2"/>
        <v>2000</v>
      </c>
      <c r="M12" s="76" t="str">
        <f t="shared" si="3"/>
        <v>octubre</v>
      </c>
      <c r="N12" s="76">
        <f t="shared" si="4"/>
        <v>2025</v>
      </c>
    </row>
    <row r="13" ht="22.5" customHeight="1">
      <c r="A13" s="67" t="str">
        <f t="array" ref="A13">XLOOKUP(B13,SERVICIOS!B:B,SERVICIOS!A:A,"")</f>
        <v>S01</v>
      </c>
      <c r="B13" s="68" t="s">
        <v>140</v>
      </c>
      <c r="C13" s="69">
        <v>45955.0</v>
      </c>
      <c r="D13" s="70" t="s">
        <v>144</v>
      </c>
      <c r="E13" s="71">
        <f t="array" ref="E13">XLOOKUP($D:$D,LISTA_SERVICIOS,LISTA_PRECIOS,0)</f>
        <v>1300</v>
      </c>
      <c r="F13" s="72">
        <v>0.0</v>
      </c>
      <c r="G13" s="73">
        <v>500.0</v>
      </c>
      <c r="H13" s="74">
        <v>800.0</v>
      </c>
      <c r="I13" s="70" t="s">
        <v>46</v>
      </c>
      <c r="J13" s="74">
        <f t="shared" si="1"/>
        <v>0</v>
      </c>
      <c r="K13" s="75"/>
      <c r="L13" s="71">
        <f t="shared" si="2"/>
        <v>800</v>
      </c>
      <c r="M13" s="76" t="str">
        <f t="shared" si="3"/>
        <v>octubre</v>
      </c>
      <c r="N13" s="76">
        <f t="shared" si="4"/>
        <v>2025</v>
      </c>
    </row>
    <row r="14" ht="22.5" customHeight="1">
      <c r="A14" s="67" t="str">
        <f t="array" ref="A14">XLOOKUP(B14,SERVICIOS!B:B,SERVICIOS!A:A,"")</f>
        <v>S01</v>
      </c>
      <c r="B14" s="68" t="s">
        <v>140</v>
      </c>
      <c r="C14" s="69">
        <v>45955.0</v>
      </c>
      <c r="D14" s="70" t="s">
        <v>145</v>
      </c>
      <c r="E14" s="71">
        <f t="array" ref="E14">XLOOKUP($D:$D,LISTA_SERVICIOS,LISTA_PRECIOS,0)</f>
        <v>2600</v>
      </c>
      <c r="F14" s="72">
        <v>0.0</v>
      </c>
      <c r="G14" s="73">
        <v>0.0</v>
      </c>
      <c r="H14" s="74">
        <v>0.0</v>
      </c>
      <c r="I14" s="75"/>
      <c r="J14" s="74">
        <f t="shared" si="1"/>
        <v>2600</v>
      </c>
      <c r="K14" s="70" t="s">
        <v>46</v>
      </c>
      <c r="L14" s="71">
        <f t="shared" si="2"/>
        <v>2600</v>
      </c>
      <c r="M14" s="76" t="str">
        <f t="shared" si="3"/>
        <v>octubre</v>
      </c>
      <c r="N14" s="76">
        <f t="shared" si="4"/>
        <v>2025</v>
      </c>
    </row>
    <row r="15" ht="22.5" customHeight="1">
      <c r="A15" s="67" t="str">
        <f t="array" ref="A15">XLOOKUP(B15,SERVICIOS!B:B,SERVICIOS!A:A,"")</f>
        <v>S01</v>
      </c>
      <c r="B15" s="68" t="s">
        <v>140</v>
      </c>
      <c r="C15" s="69">
        <v>45955.0</v>
      </c>
      <c r="D15" s="70" t="s">
        <v>141</v>
      </c>
      <c r="E15" s="71">
        <f t="array" ref="E15">XLOOKUP($D:$D,LISTA_SERVICIOS,LISTA_PRECIOS,0)</f>
        <v>2200</v>
      </c>
      <c r="F15" s="72">
        <v>0.0</v>
      </c>
      <c r="G15" s="73">
        <v>200.0</v>
      </c>
      <c r="H15" s="74">
        <v>600.0</v>
      </c>
      <c r="I15" s="70" t="s">
        <v>46</v>
      </c>
      <c r="J15" s="74">
        <f t="shared" si="1"/>
        <v>1400</v>
      </c>
      <c r="K15" s="70" t="s">
        <v>56</v>
      </c>
      <c r="L15" s="71">
        <f t="shared" si="2"/>
        <v>2000</v>
      </c>
      <c r="M15" s="76" t="str">
        <f t="shared" si="3"/>
        <v>octubre</v>
      </c>
      <c r="N15" s="76">
        <f t="shared" si="4"/>
        <v>2025</v>
      </c>
    </row>
    <row r="16" ht="22.5" customHeight="1">
      <c r="A16" s="67" t="str">
        <f t="array" ref="A16">XLOOKUP(B16,SERVICIOS!B:B,SERVICIOS!A:A,"")</f>
        <v>S03</v>
      </c>
      <c r="B16" s="68" t="s">
        <v>142</v>
      </c>
      <c r="C16" s="69">
        <v>45955.0</v>
      </c>
      <c r="D16" s="70" t="s">
        <v>39</v>
      </c>
      <c r="E16" s="71">
        <f t="array" ref="E16">XLOOKUP($D:$D,LISTA_SERVICIOS,LISTA_PRECIOS,0)</f>
        <v>2800</v>
      </c>
      <c r="F16" s="72">
        <v>0.0</v>
      </c>
      <c r="G16" s="73">
        <v>400.0</v>
      </c>
      <c r="H16" s="74">
        <v>0.0</v>
      </c>
      <c r="I16" s="75"/>
      <c r="J16" s="74">
        <f t="shared" si="1"/>
        <v>2400</v>
      </c>
      <c r="K16" s="70" t="s">
        <v>56</v>
      </c>
      <c r="L16" s="71">
        <f t="shared" si="2"/>
        <v>2400</v>
      </c>
      <c r="M16" s="76" t="str">
        <f t="shared" si="3"/>
        <v>octubre</v>
      </c>
      <c r="N16" s="76">
        <f t="shared" si="4"/>
        <v>2025</v>
      </c>
    </row>
    <row r="17" ht="22.5" customHeight="1">
      <c r="A17" s="67" t="str">
        <f t="array" ref="A17">XLOOKUP(B17,SERVICIOS!B:B,SERVICIOS!A:A,"")</f>
        <v>S02</v>
      </c>
      <c r="B17" s="68" t="s">
        <v>143</v>
      </c>
      <c r="C17" s="69">
        <v>45956.0</v>
      </c>
      <c r="D17" s="70" t="s">
        <v>72</v>
      </c>
      <c r="E17" s="71">
        <f t="array" ref="E17">XLOOKUP($D:$D,LISTA_SERVICIOS,LISTA_PRECIOS,0)</f>
        <v>800</v>
      </c>
      <c r="F17" s="72">
        <v>0.0</v>
      </c>
      <c r="G17" s="73">
        <v>0.0</v>
      </c>
      <c r="H17" s="74">
        <v>0.0</v>
      </c>
      <c r="I17" s="75"/>
      <c r="J17" s="74">
        <f t="shared" si="1"/>
        <v>800</v>
      </c>
      <c r="K17" s="70" t="s">
        <v>56</v>
      </c>
      <c r="L17" s="71">
        <f t="shared" si="2"/>
        <v>800</v>
      </c>
      <c r="M17" s="76" t="str">
        <f t="shared" si="3"/>
        <v>octubre</v>
      </c>
      <c r="N17" s="76">
        <f t="shared" si="4"/>
        <v>2025</v>
      </c>
    </row>
    <row r="18" ht="22.5" customHeight="1">
      <c r="A18" s="67" t="str">
        <f t="array" ref="A18">XLOOKUP(B18,SERVICIOS!B:B,SERVICIOS!A:A,"")</f>
        <v>S02</v>
      </c>
      <c r="B18" s="68" t="s">
        <v>143</v>
      </c>
      <c r="C18" s="69">
        <v>45956.0</v>
      </c>
      <c r="D18" s="70" t="s">
        <v>78</v>
      </c>
      <c r="E18" s="71">
        <f t="array" ref="E18">XLOOKUP($D:$D,LISTA_SERVICIOS,LISTA_PRECIOS,0)</f>
        <v>1000</v>
      </c>
      <c r="F18" s="72">
        <v>0.0</v>
      </c>
      <c r="G18" s="73">
        <v>0.0</v>
      </c>
      <c r="H18" s="74">
        <v>0.0</v>
      </c>
      <c r="I18" s="75"/>
      <c r="J18" s="74">
        <f t="shared" si="1"/>
        <v>1000</v>
      </c>
      <c r="K18" s="70" t="s">
        <v>56</v>
      </c>
      <c r="L18" s="71">
        <f t="shared" si="2"/>
        <v>1000</v>
      </c>
      <c r="M18" s="76" t="str">
        <f t="shared" si="3"/>
        <v>octubre</v>
      </c>
      <c r="N18" s="76">
        <f t="shared" si="4"/>
        <v>2025</v>
      </c>
    </row>
    <row r="19" ht="22.5" customHeight="1">
      <c r="A19" s="67" t="str">
        <f t="array" ref="A19">XLOOKUP(B19,SERVICIOS!B:B,SERVICIOS!A:A,"")</f>
        <v>S01</v>
      </c>
      <c r="B19" s="68" t="s">
        <v>140</v>
      </c>
      <c r="C19" s="69">
        <v>45956.0</v>
      </c>
      <c r="D19" s="70" t="s">
        <v>146</v>
      </c>
      <c r="E19" s="71">
        <f t="array" ref="E19">XLOOKUP($D:$D,LISTA_SERVICIOS,LISTA_PRECIOS,0)</f>
        <v>3000</v>
      </c>
      <c r="F19" s="72">
        <v>0.0</v>
      </c>
      <c r="G19" s="73">
        <v>200.0</v>
      </c>
      <c r="H19" s="74">
        <v>1500.0</v>
      </c>
      <c r="I19" s="70" t="s">
        <v>46</v>
      </c>
      <c r="J19" s="74">
        <f t="shared" si="1"/>
        <v>1300</v>
      </c>
      <c r="K19" s="70" t="s">
        <v>56</v>
      </c>
      <c r="L19" s="71">
        <f t="shared" si="2"/>
        <v>2800</v>
      </c>
      <c r="M19" s="76" t="str">
        <f t="shared" si="3"/>
        <v>octubre</v>
      </c>
      <c r="N19" s="76">
        <f t="shared" si="4"/>
        <v>2025</v>
      </c>
    </row>
    <row r="20" ht="22.5" customHeight="1">
      <c r="A20" s="67" t="str">
        <f t="array" ref="A20">XLOOKUP(B20,SERVICIOS!B:B,SERVICIOS!A:A,"")</f>
        <v>S02</v>
      </c>
      <c r="B20" s="68" t="s">
        <v>143</v>
      </c>
      <c r="C20" s="69">
        <v>45956.0</v>
      </c>
      <c r="D20" s="70" t="s">
        <v>68</v>
      </c>
      <c r="E20" s="71">
        <f t="array" ref="E20">XLOOKUP($D:$D,LISTA_SERVICIOS,LISTA_PRECIOS,0)</f>
        <v>800</v>
      </c>
      <c r="F20" s="72">
        <v>150.0</v>
      </c>
      <c r="G20" s="73">
        <v>0.0</v>
      </c>
      <c r="H20" s="74">
        <v>300.0</v>
      </c>
      <c r="I20" s="70" t="s">
        <v>46</v>
      </c>
      <c r="J20" s="74">
        <f t="shared" si="1"/>
        <v>650</v>
      </c>
      <c r="K20" s="70" t="s">
        <v>56</v>
      </c>
      <c r="L20" s="71">
        <f t="shared" si="2"/>
        <v>950</v>
      </c>
      <c r="M20" s="76" t="str">
        <f t="shared" si="3"/>
        <v>octubre</v>
      </c>
      <c r="N20" s="76">
        <f t="shared" si="4"/>
        <v>2025</v>
      </c>
    </row>
    <row r="21" ht="22.5" customHeight="1">
      <c r="A21" s="67" t="str">
        <f t="array" ref="A21">XLOOKUP(B21,SERVICIOS!B:B,SERVICIOS!A:A,"")</f>
        <v>S02</v>
      </c>
      <c r="B21" s="68" t="s">
        <v>143</v>
      </c>
      <c r="C21" s="69">
        <v>45956.0</v>
      </c>
      <c r="D21" s="70" t="s">
        <v>43</v>
      </c>
      <c r="E21" s="71">
        <f t="array" ref="E21">XLOOKUP($D:$D,LISTA_SERVICIOS,LISTA_PRECIOS,0)</f>
        <v>600</v>
      </c>
      <c r="F21" s="72">
        <v>0.0</v>
      </c>
      <c r="G21" s="73">
        <v>0.0</v>
      </c>
      <c r="H21" s="74">
        <v>0.0</v>
      </c>
      <c r="I21" s="75"/>
      <c r="J21" s="74">
        <f t="shared" si="1"/>
        <v>600</v>
      </c>
      <c r="K21" s="70" t="s">
        <v>56</v>
      </c>
      <c r="L21" s="71">
        <f t="shared" si="2"/>
        <v>600</v>
      </c>
      <c r="M21" s="76" t="str">
        <f t="shared" si="3"/>
        <v>octubre</v>
      </c>
      <c r="N21" s="76">
        <f t="shared" si="4"/>
        <v>2025</v>
      </c>
    </row>
    <row r="22" ht="22.5" customHeight="1">
      <c r="A22" s="67" t="str">
        <f t="array" ref="A22">XLOOKUP(B22,SERVICIOS!B:B,SERVICIOS!A:A,"")</f>
        <v>S01</v>
      </c>
      <c r="B22" s="68" t="s">
        <v>140</v>
      </c>
      <c r="C22" s="69">
        <v>45956.0</v>
      </c>
      <c r="D22" s="70" t="s">
        <v>141</v>
      </c>
      <c r="E22" s="71">
        <f t="array" ref="E22">XLOOKUP($D:$D,LISTA_SERVICIOS,LISTA_PRECIOS,0)</f>
        <v>2200</v>
      </c>
      <c r="F22" s="72">
        <v>0.0</v>
      </c>
      <c r="G22" s="73">
        <v>300.0</v>
      </c>
      <c r="H22" s="74">
        <v>300.0</v>
      </c>
      <c r="I22" s="70" t="s">
        <v>46</v>
      </c>
      <c r="J22" s="74">
        <f t="shared" si="1"/>
        <v>1600</v>
      </c>
      <c r="K22" s="70" t="s">
        <v>56</v>
      </c>
      <c r="L22" s="71">
        <f t="shared" si="2"/>
        <v>1900</v>
      </c>
      <c r="M22" s="76" t="str">
        <f t="shared" si="3"/>
        <v>octubre</v>
      </c>
      <c r="N22" s="76">
        <f t="shared" si="4"/>
        <v>2025</v>
      </c>
    </row>
    <row r="23" ht="22.5" customHeight="1">
      <c r="A23" s="67" t="str">
        <f t="array" ref="A23">XLOOKUP(B23,SERVICIOS!B:B,SERVICIOS!A:A,"")</f>
        <v>S02</v>
      </c>
      <c r="B23" s="68" t="s">
        <v>143</v>
      </c>
      <c r="C23" s="69">
        <v>45956.0</v>
      </c>
      <c r="D23" s="70" t="s">
        <v>53</v>
      </c>
      <c r="E23" s="71">
        <f t="array" ref="E23">XLOOKUP($D:$D,LISTA_SERVICIOS,LISTA_PRECIOS,0)</f>
        <v>650</v>
      </c>
      <c r="F23" s="72">
        <v>0.0</v>
      </c>
      <c r="G23" s="73">
        <v>50.0</v>
      </c>
      <c r="H23" s="74">
        <v>200.0</v>
      </c>
      <c r="I23" s="70" t="s">
        <v>46</v>
      </c>
      <c r="J23" s="74">
        <f t="shared" si="1"/>
        <v>400</v>
      </c>
      <c r="K23" s="70" t="s">
        <v>56</v>
      </c>
      <c r="L23" s="71">
        <f t="shared" si="2"/>
        <v>600</v>
      </c>
      <c r="M23" s="76" t="str">
        <f t="shared" si="3"/>
        <v>octubre</v>
      </c>
      <c r="N23" s="76">
        <f t="shared" si="4"/>
        <v>2025</v>
      </c>
    </row>
    <row r="24" ht="22.5" customHeight="1">
      <c r="A24" s="67" t="str">
        <f t="array" ref="A24">XLOOKUP(B24,SERVICIOS!B:B,SERVICIOS!A:A,"")</f>
        <v>S02</v>
      </c>
      <c r="B24" s="68" t="s">
        <v>143</v>
      </c>
      <c r="C24" s="69">
        <v>45957.0</v>
      </c>
      <c r="D24" s="70" t="s">
        <v>63</v>
      </c>
      <c r="E24" s="71">
        <f t="array" ref="E24">XLOOKUP($D:$D,LISTA_SERVICIOS,LISTA_PRECIOS,0)</f>
        <v>800</v>
      </c>
      <c r="F24" s="72">
        <v>150.0</v>
      </c>
      <c r="G24" s="73">
        <v>0.0</v>
      </c>
      <c r="H24" s="74">
        <v>350.0</v>
      </c>
      <c r="I24" s="70" t="s">
        <v>46</v>
      </c>
      <c r="J24" s="74">
        <f t="shared" si="1"/>
        <v>600</v>
      </c>
      <c r="K24" s="70" t="s">
        <v>51</v>
      </c>
      <c r="L24" s="71">
        <f t="shared" si="2"/>
        <v>950</v>
      </c>
      <c r="M24" s="76" t="str">
        <f t="shared" si="3"/>
        <v>octubre</v>
      </c>
      <c r="N24" s="76">
        <f t="shared" si="4"/>
        <v>2025</v>
      </c>
    </row>
    <row r="25" ht="22.5" customHeight="1">
      <c r="A25" s="67" t="str">
        <f t="array" ref="A25">XLOOKUP(B25,SERVICIOS!B:B,SERVICIOS!A:A,"")</f>
        <v>S03</v>
      </c>
      <c r="B25" s="68" t="s">
        <v>147</v>
      </c>
      <c r="C25" s="69">
        <v>45961.0</v>
      </c>
      <c r="D25" s="70" t="s">
        <v>54</v>
      </c>
      <c r="E25" s="71">
        <f t="array" ref="E25">XLOOKUP($D:$D,LISTA_SERVICIOS,LISTA_PRECIOS,0)</f>
        <v>4000</v>
      </c>
      <c r="F25" s="72">
        <v>500.0</v>
      </c>
      <c r="G25" s="73">
        <v>0.0</v>
      </c>
      <c r="H25" s="74">
        <v>0.0</v>
      </c>
      <c r="I25" s="75"/>
      <c r="J25" s="74">
        <f t="shared" si="1"/>
        <v>4500</v>
      </c>
      <c r="K25" s="70" t="s">
        <v>46</v>
      </c>
      <c r="L25" s="71">
        <f t="shared" si="2"/>
        <v>4500</v>
      </c>
      <c r="M25" s="76" t="str">
        <f t="shared" si="3"/>
        <v>octubre</v>
      </c>
      <c r="N25" s="76">
        <f t="shared" si="4"/>
        <v>2025</v>
      </c>
    </row>
    <row r="26" ht="22.5" customHeight="1">
      <c r="A26" s="67" t="str">
        <f t="array" ref="A26">XLOOKUP(B26,SERVICIOS!B:B,SERVICIOS!A:A,"")</f>
        <v>S03</v>
      </c>
      <c r="B26" s="68" t="s">
        <v>147</v>
      </c>
      <c r="C26" s="69">
        <v>45961.0</v>
      </c>
      <c r="D26" s="70" t="s">
        <v>59</v>
      </c>
      <c r="E26" s="71">
        <f t="array" ref="E26">XLOOKUP($D:$D,LISTA_SERVICIOS,LISTA_PRECIOS,0)</f>
        <v>4700</v>
      </c>
      <c r="F26" s="72">
        <v>0.0</v>
      </c>
      <c r="G26" s="73">
        <v>200.0</v>
      </c>
      <c r="H26" s="74">
        <v>0.0</v>
      </c>
      <c r="I26" s="75"/>
      <c r="J26" s="74">
        <f t="shared" si="1"/>
        <v>4500</v>
      </c>
      <c r="K26" s="70" t="s">
        <v>51</v>
      </c>
      <c r="L26" s="71">
        <f t="shared" si="2"/>
        <v>4500</v>
      </c>
      <c r="M26" s="76" t="str">
        <f t="shared" si="3"/>
        <v>octubre</v>
      </c>
      <c r="N26" s="76">
        <f t="shared" si="4"/>
        <v>2025</v>
      </c>
    </row>
    <row r="27" ht="22.5" customHeight="1">
      <c r="A27" s="67" t="str">
        <f t="array" ref="A27">XLOOKUP(B27,SERVICIOS!B:B,SERVICIOS!A:A,"")</f>
        <v>S01</v>
      </c>
      <c r="B27" s="68" t="s">
        <v>140</v>
      </c>
      <c r="C27" s="69">
        <v>45961.0</v>
      </c>
      <c r="D27" s="70" t="s">
        <v>141</v>
      </c>
      <c r="E27" s="71">
        <f t="array" ref="E27">XLOOKUP($D:$D,LISTA_SERVICIOS,LISTA_PRECIOS,0)</f>
        <v>2200</v>
      </c>
      <c r="F27" s="72">
        <v>0.0</v>
      </c>
      <c r="G27" s="73">
        <v>200.0</v>
      </c>
      <c r="H27" s="74">
        <v>0.0</v>
      </c>
      <c r="I27" s="75"/>
      <c r="J27" s="74">
        <f t="shared" si="1"/>
        <v>2000</v>
      </c>
      <c r="K27" s="70" t="s">
        <v>46</v>
      </c>
      <c r="L27" s="71">
        <f t="shared" si="2"/>
        <v>2000</v>
      </c>
      <c r="M27" s="76" t="str">
        <f t="shared" si="3"/>
        <v>octubre</v>
      </c>
      <c r="N27" s="76">
        <f t="shared" si="4"/>
        <v>2025</v>
      </c>
    </row>
    <row r="28" ht="22.5" customHeight="1">
      <c r="A28" s="67" t="str">
        <f t="array" ref="A28">XLOOKUP(B28,SERVICIOS!B:B,SERVICIOS!A:A,"")</f>
        <v>S02</v>
      </c>
      <c r="B28" s="68" t="s">
        <v>143</v>
      </c>
      <c r="C28" s="69">
        <v>45962.0</v>
      </c>
      <c r="D28" s="70" t="s">
        <v>63</v>
      </c>
      <c r="E28" s="71">
        <f t="array" ref="E28">XLOOKUP($D:$D,LISTA_SERVICIOS,LISTA_PRECIOS,0)</f>
        <v>800</v>
      </c>
      <c r="F28" s="72">
        <v>0.0</v>
      </c>
      <c r="G28" s="73">
        <v>0.0</v>
      </c>
      <c r="H28" s="74">
        <v>0.0</v>
      </c>
      <c r="I28" s="75"/>
      <c r="J28" s="74">
        <f t="shared" si="1"/>
        <v>800</v>
      </c>
      <c r="K28" s="70" t="s">
        <v>51</v>
      </c>
      <c r="L28" s="71">
        <f t="shared" si="2"/>
        <v>800</v>
      </c>
      <c r="M28" s="76" t="str">
        <f t="shared" si="3"/>
        <v>noviembre</v>
      </c>
      <c r="N28" s="76">
        <f t="shared" si="4"/>
        <v>2025</v>
      </c>
    </row>
    <row r="29" ht="22.5" customHeight="1">
      <c r="A29" s="67" t="str">
        <f t="array" ref="A29">XLOOKUP(B29,SERVICIOS!B:B,SERVICIOS!A:A,"")</f>
        <v>S02</v>
      </c>
      <c r="B29" s="68" t="s">
        <v>143</v>
      </c>
      <c r="C29" s="69">
        <v>45962.0</v>
      </c>
      <c r="D29" s="70" t="s">
        <v>58</v>
      </c>
      <c r="E29" s="71">
        <f t="array" ref="E29">XLOOKUP($D:$D,LISTA_SERVICIOS,LISTA_PRECIOS,0)</f>
        <v>650</v>
      </c>
      <c r="F29" s="72">
        <v>0.0</v>
      </c>
      <c r="G29" s="73">
        <v>0.0</v>
      </c>
      <c r="H29" s="74">
        <v>0.0</v>
      </c>
      <c r="I29" s="75"/>
      <c r="J29" s="74">
        <f t="shared" si="1"/>
        <v>650</v>
      </c>
      <c r="K29" s="70" t="s">
        <v>46</v>
      </c>
      <c r="L29" s="71">
        <f t="shared" si="2"/>
        <v>650</v>
      </c>
      <c r="M29" s="76" t="str">
        <f t="shared" si="3"/>
        <v>noviembre</v>
      </c>
      <c r="N29" s="76">
        <f t="shared" si="4"/>
        <v>2025</v>
      </c>
    </row>
    <row r="30" ht="22.5" customHeight="1">
      <c r="A30" s="67" t="str">
        <f t="array" ref="A30">XLOOKUP(B30,SERVICIOS!B:B,SERVICIOS!A:A,"")</f>
        <v>S02</v>
      </c>
      <c r="B30" s="68" t="s">
        <v>143</v>
      </c>
      <c r="C30" s="69">
        <v>45962.0</v>
      </c>
      <c r="D30" s="70" t="s">
        <v>75</v>
      </c>
      <c r="E30" s="71">
        <f t="array" ref="E30">XLOOKUP($D:$D,LISTA_SERVICIOS,LISTA_PRECIOS,0)</f>
        <v>800</v>
      </c>
      <c r="F30" s="72">
        <v>0.0</v>
      </c>
      <c r="G30" s="73">
        <v>0.0</v>
      </c>
      <c r="H30" s="74">
        <v>0.0</v>
      </c>
      <c r="I30" s="75"/>
      <c r="J30" s="74">
        <f t="shared" si="1"/>
        <v>800</v>
      </c>
      <c r="K30" s="70" t="s">
        <v>46</v>
      </c>
      <c r="L30" s="71">
        <f t="shared" si="2"/>
        <v>800</v>
      </c>
      <c r="M30" s="76" t="str">
        <f t="shared" si="3"/>
        <v>noviembre</v>
      </c>
      <c r="N30" s="76">
        <f t="shared" si="4"/>
        <v>2025</v>
      </c>
    </row>
    <row r="31" ht="22.5" customHeight="1">
      <c r="A31" s="67" t="str">
        <f t="array" ref="A31">XLOOKUP(B31,SERVICIOS!B:B,SERVICIOS!A:A,"")</f>
        <v>S01</v>
      </c>
      <c r="B31" s="68" t="s">
        <v>140</v>
      </c>
      <c r="C31" s="69">
        <v>45962.0</v>
      </c>
      <c r="D31" s="70" t="s">
        <v>144</v>
      </c>
      <c r="E31" s="71">
        <f t="array" ref="E31">XLOOKUP($D:$D,LISTA_SERVICIOS,LISTA_PRECIOS,0)</f>
        <v>1300</v>
      </c>
      <c r="F31" s="72">
        <v>0.0</v>
      </c>
      <c r="G31" s="73">
        <v>0.0</v>
      </c>
      <c r="H31" s="74">
        <v>0.0</v>
      </c>
      <c r="I31" s="75"/>
      <c r="J31" s="74">
        <f t="shared" si="1"/>
        <v>1300</v>
      </c>
      <c r="K31" s="70" t="s">
        <v>56</v>
      </c>
      <c r="L31" s="71">
        <f t="shared" si="2"/>
        <v>1300</v>
      </c>
      <c r="M31" s="76" t="str">
        <f t="shared" si="3"/>
        <v>noviembre</v>
      </c>
      <c r="N31" s="76">
        <f t="shared" si="4"/>
        <v>2025</v>
      </c>
    </row>
    <row r="32" ht="22.5" customHeight="1">
      <c r="A32" s="67" t="str">
        <f t="array" ref="A32">XLOOKUP(B32,SERVICIOS!B:B,SERVICIOS!A:A,"")</f>
        <v>S02</v>
      </c>
      <c r="B32" s="68" t="s">
        <v>143</v>
      </c>
      <c r="C32" s="69">
        <v>45962.0</v>
      </c>
      <c r="D32" s="70" t="s">
        <v>72</v>
      </c>
      <c r="E32" s="71">
        <f t="array" ref="E32">XLOOKUP($D:$D,LISTA_SERVICIOS,LISTA_PRECIOS,0)</f>
        <v>800</v>
      </c>
      <c r="F32" s="72">
        <v>0.0</v>
      </c>
      <c r="G32" s="73">
        <v>0.0</v>
      </c>
      <c r="H32" s="74">
        <v>0.0</v>
      </c>
      <c r="I32" s="75"/>
      <c r="J32" s="74">
        <f t="shared" si="1"/>
        <v>800</v>
      </c>
      <c r="K32" s="70" t="s">
        <v>46</v>
      </c>
      <c r="L32" s="71">
        <f t="shared" si="2"/>
        <v>800</v>
      </c>
      <c r="M32" s="76" t="str">
        <f t="shared" si="3"/>
        <v>noviembre</v>
      </c>
      <c r="N32" s="76">
        <f t="shared" si="4"/>
        <v>2025</v>
      </c>
    </row>
    <row r="33" ht="22.5" customHeight="1">
      <c r="A33" s="67" t="str">
        <f t="array" ref="A33">XLOOKUP(B33,SERVICIOS!B:B,SERVICIOS!A:A,"")</f>
        <v>S01</v>
      </c>
      <c r="B33" s="68" t="s">
        <v>140</v>
      </c>
      <c r="C33" s="69">
        <v>45968.0</v>
      </c>
      <c r="D33" s="70" t="s">
        <v>144</v>
      </c>
      <c r="E33" s="71">
        <f t="array" ref="E33">XLOOKUP($D:$D,LISTA_SERVICIOS,LISTA_PRECIOS,0)</f>
        <v>1300</v>
      </c>
      <c r="F33" s="72">
        <v>0.0</v>
      </c>
      <c r="G33" s="73">
        <v>580.0</v>
      </c>
      <c r="H33" s="74">
        <v>720.0</v>
      </c>
      <c r="I33" s="70" t="s">
        <v>46</v>
      </c>
      <c r="J33" s="74">
        <f t="shared" si="1"/>
        <v>0</v>
      </c>
      <c r="K33" s="75"/>
      <c r="L33" s="71">
        <f t="shared" si="2"/>
        <v>720</v>
      </c>
      <c r="M33" s="76" t="str">
        <f t="shared" si="3"/>
        <v>noviembre</v>
      </c>
      <c r="N33" s="76">
        <f t="shared" si="4"/>
        <v>2025</v>
      </c>
    </row>
    <row r="34" ht="22.5" customHeight="1">
      <c r="A34" s="67" t="str">
        <f t="array" ref="A34">XLOOKUP(B34,SERVICIOS!B:B,SERVICIOS!A:A,"")</f>
        <v>S03</v>
      </c>
      <c r="B34" s="68" t="s">
        <v>142</v>
      </c>
      <c r="C34" s="69">
        <v>45969.0</v>
      </c>
      <c r="D34" s="70" t="s">
        <v>69</v>
      </c>
      <c r="E34" s="71">
        <f t="array" ref="E34">XLOOKUP($D:$D,LISTA_SERVICIOS,LISTA_PRECIOS,0)</f>
        <v>6000</v>
      </c>
      <c r="F34" s="72">
        <v>0.0</v>
      </c>
      <c r="G34" s="73">
        <v>0.0</v>
      </c>
      <c r="H34" s="74">
        <v>0.0</v>
      </c>
      <c r="I34" s="75"/>
      <c r="J34" s="74">
        <f t="shared" si="1"/>
        <v>6000</v>
      </c>
      <c r="K34" s="70" t="s">
        <v>46</v>
      </c>
      <c r="L34" s="71">
        <f t="shared" si="2"/>
        <v>6000</v>
      </c>
      <c r="M34" s="76" t="str">
        <f t="shared" si="3"/>
        <v>noviembre</v>
      </c>
      <c r="N34" s="76">
        <f t="shared" si="4"/>
        <v>2025</v>
      </c>
    </row>
    <row r="35" ht="22.5" customHeight="1">
      <c r="A35" s="67" t="str">
        <f t="array" ref="A35">XLOOKUP(B35,SERVICIOS!B:B,SERVICIOS!A:A,"")</f>
        <v>S04</v>
      </c>
      <c r="B35" s="68" t="s">
        <v>148</v>
      </c>
      <c r="C35" s="69">
        <v>45969.0</v>
      </c>
      <c r="D35" s="70" t="s">
        <v>149</v>
      </c>
      <c r="E35" s="71">
        <f t="array" ref="E35">XLOOKUP($D:$D,LISTA_SERVICIOS,LISTA_PRECIOS,0)</f>
        <v>5000</v>
      </c>
      <c r="F35" s="72">
        <v>0.0</v>
      </c>
      <c r="G35" s="73">
        <v>0.0</v>
      </c>
      <c r="H35" s="74">
        <v>0.0</v>
      </c>
      <c r="I35" s="75"/>
      <c r="J35" s="74">
        <f t="shared" si="1"/>
        <v>5000</v>
      </c>
      <c r="K35" s="70" t="s">
        <v>46</v>
      </c>
      <c r="L35" s="71">
        <f t="shared" si="2"/>
        <v>5000</v>
      </c>
      <c r="M35" s="76" t="str">
        <f t="shared" si="3"/>
        <v>noviembre</v>
      </c>
      <c r="N35" s="76">
        <f t="shared" si="4"/>
        <v>2025</v>
      </c>
    </row>
    <row r="36" ht="22.5" customHeight="1">
      <c r="A36" s="67" t="str">
        <f t="array" ref="A36">XLOOKUP(B36,SERVICIOS!B:B,SERVICIOS!A:A,"")</f>
        <v>S02</v>
      </c>
      <c r="B36" s="68" t="s">
        <v>143</v>
      </c>
      <c r="C36" s="69">
        <v>45969.0</v>
      </c>
      <c r="D36" s="70" t="s">
        <v>78</v>
      </c>
      <c r="E36" s="71">
        <f t="array" ref="E36">XLOOKUP($D:$D,LISTA_SERVICIOS,LISTA_PRECIOS,0)</f>
        <v>1000</v>
      </c>
      <c r="F36" s="72">
        <v>600.0</v>
      </c>
      <c r="G36" s="73">
        <v>0.0</v>
      </c>
      <c r="H36" s="74">
        <v>0.0</v>
      </c>
      <c r="I36" s="75"/>
      <c r="J36" s="74">
        <f t="shared" si="1"/>
        <v>1600</v>
      </c>
      <c r="K36" s="70" t="s">
        <v>46</v>
      </c>
      <c r="L36" s="71">
        <f t="shared" si="2"/>
        <v>1600</v>
      </c>
      <c r="M36" s="76" t="str">
        <f t="shared" si="3"/>
        <v>noviembre</v>
      </c>
      <c r="N36" s="76">
        <f t="shared" si="4"/>
        <v>2025</v>
      </c>
    </row>
    <row r="37" ht="22.5" customHeight="1">
      <c r="A37" s="67" t="str">
        <f t="array" ref="A37">XLOOKUP(B37,SERVICIOS!B:B,SERVICIOS!A:A,"")</f>
        <v>S02</v>
      </c>
      <c r="B37" s="68" t="s">
        <v>143</v>
      </c>
      <c r="C37" s="69">
        <v>45969.0</v>
      </c>
      <c r="D37" s="70" t="s">
        <v>38</v>
      </c>
      <c r="E37" s="71">
        <f t="array" ref="E37">XLOOKUP($D:$D,LISTA_SERVICIOS,LISTA_PRECIOS,0)</f>
        <v>600</v>
      </c>
      <c r="F37" s="72">
        <v>0.0</v>
      </c>
      <c r="G37" s="73">
        <v>0.0</v>
      </c>
      <c r="H37" s="74">
        <v>0.0</v>
      </c>
      <c r="I37" s="75"/>
      <c r="J37" s="74">
        <f t="shared" si="1"/>
        <v>600</v>
      </c>
      <c r="K37" s="70" t="s">
        <v>46</v>
      </c>
      <c r="L37" s="71">
        <f t="shared" si="2"/>
        <v>600</v>
      </c>
      <c r="M37" s="76" t="str">
        <f t="shared" si="3"/>
        <v>noviembre</v>
      </c>
      <c r="N37" s="76">
        <f t="shared" si="4"/>
        <v>2025</v>
      </c>
    </row>
    <row r="38" ht="22.5" customHeight="1">
      <c r="A38" s="67" t="str">
        <f t="array" ref="A38">XLOOKUP(B38,SERVICIOS!B:B,SERVICIOS!A:A,"")</f>
        <v>S02</v>
      </c>
      <c r="B38" s="68" t="s">
        <v>143</v>
      </c>
      <c r="C38" s="69">
        <v>45969.0</v>
      </c>
      <c r="D38" s="70" t="s">
        <v>63</v>
      </c>
      <c r="E38" s="71">
        <f t="array" ref="E38">XLOOKUP($D:$D,LISTA_SERVICIOS,LISTA_PRECIOS,0)</f>
        <v>800</v>
      </c>
      <c r="F38" s="72">
        <v>0.0</v>
      </c>
      <c r="G38" s="73">
        <v>0.0</v>
      </c>
      <c r="H38" s="74">
        <v>0.0</v>
      </c>
      <c r="I38" s="75"/>
      <c r="J38" s="74">
        <f t="shared" si="1"/>
        <v>800</v>
      </c>
      <c r="K38" s="70" t="s">
        <v>46</v>
      </c>
      <c r="L38" s="71">
        <f t="shared" si="2"/>
        <v>800</v>
      </c>
      <c r="M38" s="76" t="str">
        <f t="shared" si="3"/>
        <v>noviembre</v>
      </c>
      <c r="N38" s="76">
        <f t="shared" si="4"/>
        <v>2025</v>
      </c>
    </row>
    <row r="39" ht="22.5" customHeight="1">
      <c r="A39" s="67" t="str">
        <f t="array" ref="A39">XLOOKUP(B39,SERVICIOS!B:B,SERVICIOS!A:A,"")</f>
        <v>S02</v>
      </c>
      <c r="B39" s="68" t="s">
        <v>143</v>
      </c>
      <c r="C39" s="69">
        <v>45969.0</v>
      </c>
      <c r="D39" s="70" t="s">
        <v>75</v>
      </c>
      <c r="E39" s="71">
        <f t="array" ref="E39">XLOOKUP($D:$D,LISTA_SERVICIOS,LISTA_PRECIOS,0)</f>
        <v>800</v>
      </c>
      <c r="F39" s="72">
        <v>0.0</v>
      </c>
      <c r="G39" s="73">
        <v>100.0</v>
      </c>
      <c r="H39" s="74">
        <v>0.0</v>
      </c>
      <c r="I39" s="75"/>
      <c r="J39" s="74">
        <f t="shared" si="1"/>
        <v>700</v>
      </c>
      <c r="K39" s="70" t="s">
        <v>46</v>
      </c>
      <c r="L39" s="71">
        <f t="shared" si="2"/>
        <v>700</v>
      </c>
      <c r="M39" s="76" t="str">
        <f t="shared" si="3"/>
        <v>noviembre</v>
      </c>
      <c r="N39" s="76">
        <f t="shared" si="4"/>
        <v>2025</v>
      </c>
    </row>
    <row r="40" ht="22.5" customHeight="1">
      <c r="A40" s="67" t="str">
        <f t="array" ref="A40">XLOOKUP(B40,SERVICIOS!B:B,SERVICIOS!A:A,"")</f>
        <v>S01</v>
      </c>
      <c r="B40" s="68" t="s">
        <v>140</v>
      </c>
      <c r="C40" s="69">
        <v>45969.0</v>
      </c>
      <c r="D40" s="70" t="s">
        <v>145</v>
      </c>
      <c r="E40" s="71">
        <f t="array" ref="E40">XLOOKUP($D:$D,LISTA_SERVICIOS,LISTA_PRECIOS,0)</f>
        <v>2600</v>
      </c>
      <c r="F40" s="72">
        <v>0.0</v>
      </c>
      <c r="G40" s="73">
        <v>200.0</v>
      </c>
      <c r="H40" s="74">
        <v>0.0</v>
      </c>
      <c r="I40" s="75"/>
      <c r="J40" s="74">
        <f t="shared" si="1"/>
        <v>2400</v>
      </c>
      <c r="K40" s="70" t="s">
        <v>46</v>
      </c>
      <c r="L40" s="71">
        <f t="shared" si="2"/>
        <v>2400</v>
      </c>
      <c r="M40" s="76" t="str">
        <f t="shared" si="3"/>
        <v>noviembre</v>
      </c>
      <c r="N40" s="76">
        <f t="shared" si="4"/>
        <v>2025</v>
      </c>
    </row>
    <row r="41" ht="22.5" customHeight="1">
      <c r="A41" s="67" t="str">
        <f t="array" ref="A41">XLOOKUP(B41,SERVICIOS!B:B,SERVICIOS!A:A,"")</f>
        <v>S03</v>
      </c>
      <c r="B41" s="68" t="s">
        <v>142</v>
      </c>
      <c r="C41" s="69">
        <v>45969.0</v>
      </c>
      <c r="D41" s="70" t="s">
        <v>69</v>
      </c>
      <c r="E41" s="71">
        <f t="array" ref="E41">XLOOKUP($D:$D,LISTA_SERVICIOS,LISTA_PRECIOS,0)</f>
        <v>6000</v>
      </c>
      <c r="F41" s="72">
        <v>0.0</v>
      </c>
      <c r="G41" s="73">
        <v>500.0</v>
      </c>
      <c r="H41" s="74">
        <v>3000.0</v>
      </c>
      <c r="I41" s="70" t="s">
        <v>51</v>
      </c>
      <c r="J41" s="74">
        <f t="shared" si="1"/>
        <v>2500</v>
      </c>
      <c r="K41" s="70" t="s">
        <v>46</v>
      </c>
      <c r="L41" s="71">
        <f t="shared" si="2"/>
        <v>5500</v>
      </c>
      <c r="M41" s="76" t="str">
        <f t="shared" si="3"/>
        <v>noviembre</v>
      </c>
      <c r="N41" s="76">
        <f t="shared" si="4"/>
        <v>2025</v>
      </c>
    </row>
    <row r="42" ht="22.5" customHeight="1">
      <c r="A42" s="67" t="str">
        <f t="array" ref="A42">XLOOKUP(B42,SERVICIOS!B:B,SERVICIOS!A:A,"")</f>
        <v>S02</v>
      </c>
      <c r="B42" s="68" t="s">
        <v>143</v>
      </c>
      <c r="C42" s="69">
        <v>45969.0</v>
      </c>
      <c r="D42" s="70" t="s">
        <v>58</v>
      </c>
      <c r="E42" s="71">
        <f t="array" ref="E42">XLOOKUP($D:$D,LISTA_SERVICIOS,LISTA_PRECIOS,0)</f>
        <v>650</v>
      </c>
      <c r="F42" s="72">
        <v>0.0</v>
      </c>
      <c r="G42" s="73">
        <v>0.0</v>
      </c>
      <c r="H42" s="74">
        <v>0.0</v>
      </c>
      <c r="I42" s="75"/>
      <c r="J42" s="74">
        <f t="shared" si="1"/>
        <v>650</v>
      </c>
      <c r="K42" s="70" t="s">
        <v>46</v>
      </c>
      <c r="L42" s="71">
        <f t="shared" si="2"/>
        <v>650</v>
      </c>
      <c r="M42" s="76" t="str">
        <f t="shared" si="3"/>
        <v>noviembre</v>
      </c>
      <c r="N42" s="76">
        <f t="shared" si="4"/>
        <v>2025</v>
      </c>
    </row>
    <row r="43" ht="22.5" customHeight="1">
      <c r="A43" s="67" t="str">
        <f t="array" ref="A43">XLOOKUP(B43,SERVICIOS!B:B,SERVICIOS!A:A,"")</f>
        <v>S01</v>
      </c>
      <c r="B43" s="68" t="s">
        <v>140</v>
      </c>
      <c r="C43" s="69">
        <v>45969.0</v>
      </c>
      <c r="D43" s="70" t="s">
        <v>145</v>
      </c>
      <c r="E43" s="71">
        <f t="array" ref="E43">XLOOKUP($D:$D,LISTA_SERVICIOS,LISTA_PRECIOS,0)</f>
        <v>2600</v>
      </c>
      <c r="F43" s="72">
        <v>0.0</v>
      </c>
      <c r="G43" s="73">
        <v>200.0</v>
      </c>
      <c r="H43" s="74">
        <v>0.0</v>
      </c>
      <c r="I43" s="75"/>
      <c r="J43" s="74">
        <f t="shared" si="1"/>
        <v>2400</v>
      </c>
      <c r="K43" s="70" t="s">
        <v>46</v>
      </c>
      <c r="L43" s="71">
        <f t="shared" si="2"/>
        <v>2400</v>
      </c>
      <c r="M43" s="76" t="str">
        <f t="shared" si="3"/>
        <v>noviembre</v>
      </c>
      <c r="N43" s="76">
        <f t="shared" si="4"/>
        <v>2025</v>
      </c>
    </row>
    <row r="44" ht="22.5" customHeight="1">
      <c r="A44" s="67" t="str">
        <f t="array" ref="A44">XLOOKUP(B44,SERVICIOS!B:B,SERVICIOS!A:A,"")</f>
        <v>S02</v>
      </c>
      <c r="B44" s="68" t="s">
        <v>143</v>
      </c>
      <c r="C44" s="69">
        <v>45970.0</v>
      </c>
      <c r="D44" s="70" t="s">
        <v>72</v>
      </c>
      <c r="E44" s="71">
        <f t="array" ref="E44">XLOOKUP($D:$D,LISTA_SERVICIOS,LISTA_PRECIOS,0)</f>
        <v>800</v>
      </c>
      <c r="F44" s="72">
        <v>0.0</v>
      </c>
      <c r="G44" s="73">
        <v>0.0</v>
      </c>
      <c r="H44" s="74">
        <v>0.0</v>
      </c>
      <c r="I44" s="75"/>
      <c r="J44" s="74">
        <f t="shared" si="1"/>
        <v>800</v>
      </c>
      <c r="K44" s="70" t="s">
        <v>46</v>
      </c>
      <c r="L44" s="71">
        <f t="shared" si="2"/>
        <v>800</v>
      </c>
      <c r="M44" s="76" t="str">
        <f t="shared" si="3"/>
        <v>noviembre</v>
      </c>
      <c r="N44" s="76">
        <f t="shared" si="4"/>
        <v>2025</v>
      </c>
    </row>
    <row r="45" ht="22.5" customHeight="1">
      <c r="A45" s="67" t="str">
        <f t="array" ref="A45">XLOOKUP(B45,SERVICIOS!B:B,SERVICIOS!A:A,"")</f>
        <v>S02</v>
      </c>
      <c r="B45" s="68" t="s">
        <v>143</v>
      </c>
      <c r="C45" s="69">
        <v>45970.0</v>
      </c>
      <c r="D45" s="70" t="s">
        <v>43</v>
      </c>
      <c r="E45" s="71">
        <f t="array" ref="E45">XLOOKUP($D:$D,LISTA_SERVICIOS,LISTA_PRECIOS,0)</f>
        <v>600</v>
      </c>
      <c r="F45" s="72">
        <v>0.0</v>
      </c>
      <c r="G45" s="73">
        <v>0.0</v>
      </c>
      <c r="H45" s="74">
        <v>0.0</v>
      </c>
      <c r="I45" s="75"/>
      <c r="J45" s="74">
        <f t="shared" si="1"/>
        <v>600</v>
      </c>
      <c r="K45" s="70" t="s">
        <v>46</v>
      </c>
      <c r="L45" s="71">
        <f t="shared" si="2"/>
        <v>600</v>
      </c>
      <c r="M45" s="76" t="str">
        <f t="shared" si="3"/>
        <v>noviembre</v>
      </c>
      <c r="N45" s="76">
        <f t="shared" si="4"/>
        <v>2025</v>
      </c>
    </row>
    <row r="46" ht="22.5" customHeight="1">
      <c r="A46" s="67" t="str">
        <f t="array" ref="A46">XLOOKUP(B46,SERVICIOS!B:B,SERVICIOS!A:A,"")</f>
        <v>S02</v>
      </c>
      <c r="B46" s="68" t="s">
        <v>143</v>
      </c>
      <c r="C46" s="69">
        <v>45970.0</v>
      </c>
      <c r="D46" s="70" t="s">
        <v>53</v>
      </c>
      <c r="E46" s="71">
        <f t="array" ref="E46">XLOOKUP($D:$D,LISTA_SERVICIOS,LISTA_PRECIOS,0)</f>
        <v>650</v>
      </c>
      <c r="F46" s="72">
        <v>0.0</v>
      </c>
      <c r="G46" s="73">
        <v>50.0</v>
      </c>
      <c r="H46" s="74">
        <v>0.0</v>
      </c>
      <c r="I46" s="75"/>
      <c r="J46" s="74">
        <f t="shared" si="1"/>
        <v>600</v>
      </c>
      <c r="K46" s="70" t="s">
        <v>56</v>
      </c>
      <c r="L46" s="71">
        <f t="shared" si="2"/>
        <v>600</v>
      </c>
      <c r="M46" s="76" t="str">
        <f t="shared" si="3"/>
        <v>noviembre</v>
      </c>
      <c r="N46" s="76">
        <f t="shared" si="4"/>
        <v>2025</v>
      </c>
    </row>
    <row r="47" ht="22.5" customHeight="1">
      <c r="A47" s="67" t="str">
        <f t="array" ref="A47">XLOOKUP(B47,SERVICIOS!B:B,SERVICIOS!A:A,"")</f>
        <v>S01</v>
      </c>
      <c r="B47" s="68" t="s">
        <v>140</v>
      </c>
      <c r="C47" s="69">
        <v>45970.0</v>
      </c>
      <c r="D47" s="70" t="s">
        <v>141</v>
      </c>
      <c r="E47" s="71">
        <f t="array" ref="E47">XLOOKUP($D:$D,LISTA_SERVICIOS,LISTA_PRECIOS,0)</f>
        <v>2200</v>
      </c>
      <c r="F47" s="72">
        <v>0.0</v>
      </c>
      <c r="G47" s="73">
        <v>500.0</v>
      </c>
      <c r="H47" s="74">
        <v>0.0</v>
      </c>
      <c r="I47" s="75"/>
      <c r="J47" s="74">
        <f t="shared" si="1"/>
        <v>1700</v>
      </c>
      <c r="K47" s="70" t="s">
        <v>46</v>
      </c>
      <c r="L47" s="71">
        <f t="shared" si="2"/>
        <v>1700</v>
      </c>
      <c r="M47" s="76" t="str">
        <f t="shared" si="3"/>
        <v>noviembre</v>
      </c>
      <c r="N47" s="76">
        <f t="shared" si="4"/>
        <v>2025</v>
      </c>
    </row>
    <row r="48" ht="22.5" customHeight="1">
      <c r="A48" s="67" t="str">
        <f t="array" ref="A48">XLOOKUP(B48,SERVICIOS!B:B,SERVICIOS!A:A,"")</f>
        <v>S03</v>
      </c>
      <c r="B48" s="68" t="s">
        <v>142</v>
      </c>
      <c r="C48" s="69">
        <v>45975.0</v>
      </c>
      <c r="D48" s="70" t="s">
        <v>44</v>
      </c>
      <c r="E48" s="71">
        <f t="array" ref="E48">XLOOKUP($D:$D,LISTA_SERVICIOS,LISTA_PRECIOS,0)</f>
        <v>3300</v>
      </c>
      <c r="F48" s="72">
        <v>0.0</v>
      </c>
      <c r="G48" s="73">
        <v>900.0</v>
      </c>
      <c r="H48" s="74">
        <v>0.0</v>
      </c>
      <c r="I48" s="75"/>
      <c r="J48" s="74">
        <f t="shared" si="1"/>
        <v>2400</v>
      </c>
      <c r="K48" s="70" t="s">
        <v>51</v>
      </c>
      <c r="L48" s="71">
        <f t="shared" si="2"/>
        <v>2400</v>
      </c>
      <c r="M48" s="76" t="str">
        <f t="shared" si="3"/>
        <v>noviembre</v>
      </c>
      <c r="N48" s="76">
        <f t="shared" si="4"/>
        <v>2025</v>
      </c>
    </row>
    <row r="49" ht="22.5" customHeight="1">
      <c r="A49" s="67" t="str">
        <f t="array" ref="A49">XLOOKUP(B49,SERVICIOS!B:B,SERVICIOS!A:A,"")</f>
        <v>S02</v>
      </c>
      <c r="B49" s="68" t="s">
        <v>143</v>
      </c>
      <c r="C49" s="69">
        <v>45976.0</v>
      </c>
      <c r="D49" s="70" t="s">
        <v>58</v>
      </c>
      <c r="E49" s="71">
        <f t="array" ref="E49">XLOOKUP($D:$D,LISTA_SERVICIOS,LISTA_PRECIOS,0)</f>
        <v>650</v>
      </c>
      <c r="F49" s="72">
        <v>0.0</v>
      </c>
      <c r="G49" s="73">
        <v>0.0</v>
      </c>
      <c r="H49" s="74">
        <v>0.0</v>
      </c>
      <c r="I49" s="75"/>
      <c r="J49" s="74">
        <f t="shared" si="1"/>
        <v>650</v>
      </c>
      <c r="K49" s="70" t="s">
        <v>46</v>
      </c>
      <c r="L49" s="71">
        <f t="shared" si="2"/>
        <v>650</v>
      </c>
      <c r="M49" s="76" t="str">
        <f t="shared" si="3"/>
        <v>noviembre</v>
      </c>
      <c r="N49" s="76">
        <f t="shared" si="4"/>
        <v>2025</v>
      </c>
    </row>
    <row r="50" ht="22.5" customHeight="1">
      <c r="A50" s="67" t="str">
        <f t="array" ref="A50">XLOOKUP(B50,SERVICIOS!B:B,SERVICIOS!A:A,"")</f>
        <v>S02</v>
      </c>
      <c r="B50" s="68" t="s">
        <v>143</v>
      </c>
      <c r="C50" s="69">
        <v>45976.0</v>
      </c>
      <c r="D50" s="70" t="s">
        <v>75</v>
      </c>
      <c r="E50" s="71">
        <f t="array" ref="E50">XLOOKUP($D:$D,LISTA_SERVICIOS,LISTA_PRECIOS,0)</f>
        <v>800</v>
      </c>
      <c r="F50" s="72">
        <v>0.0</v>
      </c>
      <c r="G50" s="73">
        <v>0.0</v>
      </c>
      <c r="H50" s="74">
        <v>0.0</v>
      </c>
      <c r="I50" s="75"/>
      <c r="J50" s="74">
        <f t="shared" si="1"/>
        <v>800</v>
      </c>
      <c r="K50" s="70" t="s">
        <v>46</v>
      </c>
      <c r="L50" s="71">
        <f t="shared" si="2"/>
        <v>800</v>
      </c>
      <c r="M50" s="76" t="str">
        <f t="shared" si="3"/>
        <v>noviembre</v>
      </c>
      <c r="N50" s="76">
        <f t="shared" si="4"/>
        <v>2025</v>
      </c>
    </row>
    <row r="51" ht="22.5" customHeight="1">
      <c r="A51" s="67" t="str">
        <f t="array" ref="A51">XLOOKUP(B51,SERVICIOS!B:B,SERVICIOS!A:A,"")</f>
        <v>S03</v>
      </c>
      <c r="B51" s="68" t="s">
        <v>142</v>
      </c>
      <c r="C51" s="69">
        <v>45976.0</v>
      </c>
      <c r="D51" s="70" t="s">
        <v>39</v>
      </c>
      <c r="E51" s="71">
        <f t="array" ref="E51">XLOOKUP($D:$D,LISTA_SERVICIOS,LISTA_PRECIOS,0)</f>
        <v>2800</v>
      </c>
      <c r="F51" s="72">
        <v>0.0</v>
      </c>
      <c r="G51" s="73">
        <v>400.0</v>
      </c>
      <c r="H51" s="74">
        <v>0.0</v>
      </c>
      <c r="I51" s="75"/>
      <c r="J51" s="74">
        <f t="shared" si="1"/>
        <v>2400</v>
      </c>
      <c r="K51" s="70" t="s">
        <v>56</v>
      </c>
      <c r="L51" s="71">
        <f t="shared" si="2"/>
        <v>2400</v>
      </c>
      <c r="M51" s="76" t="str">
        <f t="shared" si="3"/>
        <v>noviembre</v>
      </c>
      <c r="N51" s="76">
        <f t="shared" si="4"/>
        <v>2025</v>
      </c>
    </row>
    <row r="52" ht="22.5" customHeight="1">
      <c r="A52" s="67" t="str">
        <f t="array" ref="A52">XLOOKUP(B52,SERVICIOS!B:B,SERVICIOS!A:A,"")</f>
        <v>S02</v>
      </c>
      <c r="B52" s="68" t="s">
        <v>143</v>
      </c>
      <c r="C52" s="69">
        <v>45976.0</v>
      </c>
      <c r="D52" s="70" t="s">
        <v>72</v>
      </c>
      <c r="E52" s="71">
        <f t="array" ref="E52">XLOOKUP($D:$D,LISTA_SERVICIOS,LISTA_PRECIOS,0)</f>
        <v>800</v>
      </c>
      <c r="F52" s="72">
        <v>0.0</v>
      </c>
      <c r="G52" s="73">
        <v>0.0</v>
      </c>
      <c r="H52" s="74">
        <v>0.0</v>
      </c>
      <c r="I52" s="75"/>
      <c r="J52" s="74">
        <f t="shared" si="1"/>
        <v>800</v>
      </c>
      <c r="K52" s="70" t="s">
        <v>56</v>
      </c>
      <c r="L52" s="71">
        <f t="shared" si="2"/>
        <v>800</v>
      </c>
      <c r="M52" s="76" t="str">
        <f t="shared" si="3"/>
        <v>noviembre</v>
      </c>
      <c r="N52" s="76">
        <f t="shared" si="4"/>
        <v>2025</v>
      </c>
    </row>
    <row r="53" ht="22.5" customHeight="1">
      <c r="A53" s="67" t="str">
        <f t="array" ref="A53">XLOOKUP(B53,SERVICIOS!B:B,SERVICIOS!A:A,"")</f>
        <v>S01</v>
      </c>
      <c r="B53" s="68" t="s">
        <v>140</v>
      </c>
      <c r="C53" s="69">
        <v>45976.0</v>
      </c>
      <c r="D53" s="70" t="s">
        <v>145</v>
      </c>
      <c r="E53" s="71">
        <f t="array" ref="E53">XLOOKUP($D:$D,LISTA_SERVICIOS,LISTA_PRECIOS,0)</f>
        <v>2600</v>
      </c>
      <c r="F53" s="72">
        <v>0.0</v>
      </c>
      <c r="G53" s="73">
        <v>200.0</v>
      </c>
      <c r="H53" s="74">
        <v>0.0</v>
      </c>
      <c r="I53" s="75"/>
      <c r="J53" s="74">
        <f t="shared" si="1"/>
        <v>2400</v>
      </c>
      <c r="K53" s="70" t="s">
        <v>46</v>
      </c>
      <c r="L53" s="71">
        <f t="shared" si="2"/>
        <v>2400</v>
      </c>
      <c r="M53" s="76" t="str">
        <f t="shared" si="3"/>
        <v>noviembre</v>
      </c>
      <c r="N53" s="76">
        <f t="shared" si="4"/>
        <v>2025</v>
      </c>
    </row>
    <row r="54" ht="22.5" customHeight="1">
      <c r="A54" s="67" t="str">
        <f t="array" ref="A54">XLOOKUP(B54,SERVICIOS!B:B,SERVICIOS!A:A,"")</f>
        <v>S01</v>
      </c>
      <c r="B54" s="68" t="s">
        <v>140</v>
      </c>
      <c r="C54" s="69">
        <v>45976.0</v>
      </c>
      <c r="D54" s="70" t="s">
        <v>141</v>
      </c>
      <c r="E54" s="71">
        <f t="array" ref="E54">XLOOKUP($D:$D,LISTA_SERVICIOS,LISTA_PRECIOS,0)</f>
        <v>2200</v>
      </c>
      <c r="F54" s="72">
        <v>0.0</v>
      </c>
      <c r="G54" s="73">
        <v>200.0</v>
      </c>
      <c r="H54" s="74">
        <v>0.0</v>
      </c>
      <c r="I54" s="75"/>
      <c r="J54" s="74">
        <f t="shared" si="1"/>
        <v>2000</v>
      </c>
      <c r="K54" s="70" t="s">
        <v>46</v>
      </c>
      <c r="L54" s="71">
        <f t="shared" si="2"/>
        <v>2000</v>
      </c>
      <c r="M54" s="76" t="str">
        <f t="shared" si="3"/>
        <v>noviembre</v>
      </c>
      <c r="N54" s="76">
        <f t="shared" si="4"/>
        <v>2025</v>
      </c>
    </row>
    <row r="55" ht="22.5" customHeight="1">
      <c r="A55" s="67" t="str">
        <f t="array" ref="A55">XLOOKUP(B55,SERVICIOS!B:B,SERVICIOS!A:A,"")</f>
        <v>S01</v>
      </c>
      <c r="B55" s="68" t="s">
        <v>140</v>
      </c>
      <c r="C55" s="69">
        <v>45976.0</v>
      </c>
      <c r="D55" s="70" t="s">
        <v>141</v>
      </c>
      <c r="E55" s="71">
        <f t="array" ref="E55">XLOOKUP($D:$D,LISTA_SERVICIOS,LISTA_PRECIOS,0)</f>
        <v>2200</v>
      </c>
      <c r="F55" s="72">
        <v>0.0</v>
      </c>
      <c r="G55" s="73">
        <v>300.0</v>
      </c>
      <c r="H55" s="74">
        <v>0.0</v>
      </c>
      <c r="I55" s="75"/>
      <c r="J55" s="74">
        <f t="shared" si="1"/>
        <v>1900</v>
      </c>
      <c r="K55" s="70" t="s">
        <v>46</v>
      </c>
      <c r="L55" s="71">
        <f t="shared" si="2"/>
        <v>1900</v>
      </c>
      <c r="M55" s="76" t="str">
        <f t="shared" si="3"/>
        <v>noviembre</v>
      </c>
      <c r="N55" s="76">
        <f t="shared" si="4"/>
        <v>2025</v>
      </c>
    </row>
    <row r="56" ht="22.5" customHeight="1">
      <c r="A56" s="67" t="str">
        <f t="array" ref="A56">XLOOKUP(B56,SERVICIOS!B:B,SERVICIOS!A:A,"")</f>
        <v>S02</v>
      </c>
      <c r="B56" s="68" t="s">
        <v>143</v>
      </c>
      <c r="C56" s="69">
        <v>45976.0</v>
      </c>
      <c r="D56" s="70" t="s">
        <v>78</v>
      </c>
      <c r="E56" s="71">
        <f t="array" ref="E56">XLOOKUP($D:$D,LISTA_SERVICIOS,LISTA_PRECIOS,0)</f>
        <v>1000</v>
      </c>
      <c r="F56" s="72">
        <v>0.0</v>
      </c>
      <c r="G56" s="73">
        <v>0.0</v>
      </c>
      <c r="H56" s="74">
        <v>0.0</v>
      </c>
      <c r="I56" s="75"/>
      <c r="J56" s="74">
        <f t="shared" si="1"/>
        <v>1000</v>
      </c>
      <c r="K56" s="70" t="s">
        <v>46</v>
      </c>
      <c r="L56" s="71">
        <f t="shared" si="2"/>
        <v>1000</v>
      </c>
      <c r="M56" s="76" t="str">
        <f t="shared" si="3"/>
        <v>noviembre</v>
      </c>
      <c r="N56" s="76">
        <f t="shared" si="4"/>
        <v>2025</v>
      </c>
    </row>
    <row r="57" ht="22.5" customHeight="1">
      <c r="A57" s="67" t="str">
        <f t="array" ref="A57">XLOOKUP(B57,SERVICIOS!B:B,SERVICIOS!A:A,"")</f>
        <v>S01</v>
      </c>
      <c r="B57" s="68" t="s">
        <v>140</v>
      </c>
      <c r="C57" s="69">
        <v>45976.0</v>
      </c>
      <c r="D57" s="70" t="s">
        <v>141</v>
      </c>
      <c r="E57" s="71">
        <f t="array" ref="E57">XLOOKUP($D:$D,LISTA_SERVICIOS,LISTA_PRECIOS,0)</f>
        <v>2200</v>
      </c>
      <c r="F57" s="72">
        <v>0.0</v>
      </c>
      <c r="G57" s="73">
        <v>0.0</v>
      </c>
      <c r="H57" s="74">
        <v>0.0</v>
      </c>
      <c r="I57" s="75"/>
      <c r="J57" s="74">
        <f t="shared" si="1"/>
        <v>2200</v>
      </c>
      <c r="K57" s="70" t="s">
        <v>51</v>
      </c>
      <c r="L57" s="71">
        <f t="shared" si="2"/>
        <v>2200</v>
      </c>
      <c r="M57" s="76" t="str">
        <f t="shared" si="3"/>
        <v>noviembre</v>
      </c>
      <c r="N57" s="76">
        <f t="shared" si="4"/>
        <v>2025</v>
      </c>
    </row>
    <row r="58" ht="22.5" customHeight="1">
      <c r="A58" s="67" t="str">
        <f t="array" ref="A58">XLOOKUP(B58,SERVICIOS!B:B,SERVICIOS!A:A,"")</f>
        <v>S02</v>
      </c>
      <c r="B58" s="68" t="s">
        <v>143</v>
      </c>
      <c r="C58" s="69">
        <v>45976.0</v>
      </c>
      <c r="D58" s="70" t="s">
        <v>63</v>
      </c>
      <c r="E58" s="71">
        <f t="array" ref="E58">XLOOKUP($D:$D,LISTA_SERVICIOS,LISTA_PRECIOS,0)</f>
        <v>800</v>
      </c>
      <c r="F58" s="72">
        <v>0.0</v>
      </c>
      <c r="G58" s="73">
        <v>0.0</v>
      </c>
      <c r="H58" s="74">
        <v>0.0</v>
      </c>
      <c r="I58" s="75"/>
      <c r="J58" s="74">
        <f t="shared" si="1"/>
        <v>800</v>
      </c>
      <c r="K58" s="70" t="s">
        <v>51</v>
      </c>
      <c r="L58" s="71">
        <f t="shared" si="2"/>
        <v>800</v>
      </c>
      <c r="M58" s="76" t="str">
        <f t="shared" si="3"/>
        <v>noviembre</v>
      </c>
      <c r="N58" s="76">
        <f t="shared" si="4"/>
        <v>2025</v>
      </c>
    </row>
    <row r="59" ht="22.5" customHeight="1">
      <c r="A59" s="67" t="str">
        <f t="array" ref="A59">XLOOKUP(B59,SERVICIOS!B:B,SERVICIOS!A:A,"")</f>
        <v>S01</v>
      </c>
      <c r="B59" s="68" t="s">
        <v>140</v>
      </c>
      <c r="C59" s="69">
        <v>45976.0</v>
      </c>
      <c r="D59" s="70" t="s">
        <v>145</v>
      </c>
      <c r="E59" s="71">
        <f t="array" ref="E59">XLOOKUP($D:$D,LISTA_SERVICIOS,LISTA_PRECIOS,0)</f>
        <v>2600</v>
      </c>
      <c r="F59" s="72">
        <v>0.0</v>
      </c>
      <c r="G59" s="73">
        <v>200.0</v>
      </c>
      <c r="H59" s="74">
        <v>400.0</v>
      </c>
      <c r="I59" s="70" t="s">
        <v>56</v>
      </c>
      <c r="J59" s="74">
        <f t="shared" si="1"/>
        <v>2000</v>
      </c>
      <c r="K59" s="70" t="s">
        <v>51</v>
      </c>
      <c r="L59" s="71">
        <f t="shared" si="2"/>
        <v>2400</v>
      </c>
      <c r="M59" s="76" t="str">
        <f t="shared" si="3"/>
        <v>noviembre</v>
      </c>
      <c r="N59" s="76">
        <f t="shared" si="4"/>
        <v>2025</v>
      </c>
    </row>
    <row r="60" ht="22.5" customHeight="1">
      <c r="A60" s="67" t="str">
        <f t="array" ref="A60">XLOOKUP(B60,SERVICIOS!B:B,SERVICIOS!A:A,"")</f>
        <v>S02</v>
      </c>
      <c r="B60" s="68" t="s">
        <v>143</v>
      </c>
      <c r="C60" s="69">
        <v>45976.0</v>
      </c>
      <c r="D60" s="70" t="s">
        <v>48</v>
      </c>
      <c r="E60" s="71">
        <f t="array" ref="E60">XLOOKUP($D:$D,LISTA_SERVICIOS,LISTA_PRECIOS,0)</f>
        <v>650</v>
      </c>
      <c r="F60" s="72">
        <v>0.0</v>
      </c>
      <c r="G60" s="73">
        <v>0.0</v>
      </c>
      <c r="H60" s="74">
        <v>0.0</v>
      </c>
      <c r="I60" s="75"/>
      <c r="J60" s="74">
        <f t="shared" si="1"/>
        <v>650</v>
      </c>
      <c r="K60" s="70" t="s">
        <v>46</v>
      </c>
      <c r="L60" s="71">
        <f t="shared" si="2"/>
        <v>650</v>
      </c>
      <c r="M60" s="76" t="str">
        <f t="shared" si="3"/>
        <v>noviembre</v>
      </c>
      <c r="N60" s="76">
        <f t="shared" si="4"/>
        <v>2025</v>
      </c>
    </row>
    <row r="61" ht="22.5" customHeight="1">
      <c r="A61" s="67" t="str">
        <f t="array" ref="A61">XLOOKUP(B61,SERVICIOS!B:B,SERVICIOS!A:A,"")</f>
        <v>S02</v>
      </c>
      <c r="B61" s="68" t="s">
        <v>143</v>
      </c>
      <c r="C61" s="69">
        <v>45977.0</v>
      </c>
      <c r="D61" s="70" t="s">
        <v>58</v>
      </c>
      <c r="E61" s="71">
        <f t="array" ref="E61">XLOOKUP($D:$D,LISTA_SERVICIOS,LISTA_PRECIOS,0)</f>
        <v>650</v>
      </c>
      <c r="F61" s="72">
        <v>0.0</v>
      </c>
      <c r="G61" s="73">
        <v>0.0</v>
      </c>
      <c r="H61" s="74">
        <v>0.0</v>
      </c>
      <c r="I61" s="75"/>
      <c r="J61" s="74">
        <f t="shared" si="1"/>
        <v>650</v>
      </c>
      <c r="K61" s="70" t="s">
        <v>46</v>
      </c>
      <c r="L61" s="71">
        <f t="shared" si="2"/>
        <v>650</v>
      </c>
      <c r="M61" s="76" t="str">
        <f t="shared" si="3"/>
        <v>noviembre</v>
      </c>
      <c r="N61" s="76">
        <f t="shared" si="4"/>
        <v>2025</v>
      </c>
    </row>
    <row r="62" ht="22.5" customHeight="1">
      <c r="A62" s="67" t="str">
        <f t="array" ref="A62">XLOOKUP(B62,SERVICIOS!B:B,SERVICIOS!A:A,"")</f>
        <v>S03</v>
      </c>
      <c r="B62" s="68" t="s">
        <v>142</v>
      </c>
      <c r="C62" s="69">
        <v>45977.0</v>
      </c>
      <c r="D62" s="70" t="s">
        <v>54</v>
      </c>
      <c r="E62" s="71">
        <f t="array" ref="E62">XLOOKUP($D:$D,LISTA_SERVICIOS,LISTA_PRECIOS,0)</f>
        <v>4000</v>
      </c>
      <c r="F62" s="72">
        <v>0.0</v>
      </c>
      <c r="G62" s="73">
        <v>0.0</v>
      </c>
      <c r="H62" s="74">
        <v>2500.0</v>
      </c>
      <c r="I62" s="70" t="s">
        <v>46</v>
      </c>
      <c r="J62" s="74">
        <f t="shared" si="1"/>
        <v>1500</v>
      </c>
      <c r="K62" s="70" t="s">
        <v>51</v>
      </c>
      <c r="L62" s="71">
        <f t="shared" si="2"/>
        <v>4000</v>
      </c>
      <c r="M62" s="76" t="str">
        <f t="shared" si="3"/>
        <v>noviembre</v>
      </c>
      <c r="N62" s="76">
        <f t="shared" si="4"/>
        <v>2025</v>
      </c>
    </row>
    <row r="63" ht="22.5" customHeight="1">
      <c r="A63" s="67" t="str">
        <f t="array" ref="A63">XLOOKUP(B63,SERVICIOS!B:B,SERVICIOS!A:A,"")</f>
        <v>S04</v>
      </c>
      <c r="B63" s="68" t="s">
        <v>148</v>
      </c>
      <c r="C63" s="69">
        <v>45977.0</v>
      </c>
      <c r="D63" s="70" t="s">
        <v>149</v>
      </c>
      <c r="E63" s="71">
        <f t="array" ref="E63">XLOOKUP($D:$D,LISTA_SERVICIOS,LISTA_PRECIOS,0)</f>
        <v>5000</v>
      </c>
      <c r="F63" s="72">
        <v>0.0</v>
      </c>
      <c r="G63" s="73">
        <v>0.0</v>
      </c>
      <c r="H63" s="74">
        <v>0.0</v>
      </c>
      <c r="I63" s="75"/>
      <c r="J63" s="74">
        <f t="shared" si="1"/>
        <v>5000</v>
      </c>
      <c r="K63" s="70" t="s">
        <v>51</v>
      </c>
      <c r="L63" s="71">
        <f t="shared" si="2"/>
        <v>5000</v>
      </c>
      <c r="M63" s="76" t="str">
        <f t="shared" si="3"/>
        <v>noviembre</v>
      </c>
      <c r="N63" s="76">
        <f t="shared" si="4"/>
        <v>2025</v>
      </c>
    </row>
    <row r="64" ht="22.5" customHeight="1">
      <c r="A64" s="67" t="str">
        <f t="array" ref="A64">XLOOKUP(B64,SERVICIOS!B:B,SERVICIOS!A:A,"")</f>
        <v>S01</v>
      </c>
      <c r="B64" s="68" t="s">
        <v>140</v>
      </c>
      <c r="C64" s="69">
        <v>45982.0</v>
      </c>
      <c r="D64" s="70" t="s">
        <v>141</v>
      </c>
      <c r="E64" s="71">
        <f t="array" ref="E64">XLOOKUP($D:$D,LISTA_SERVICIOS,LISTA_PRECIOS,0)</f>
        <v>2200</v>
      </c>
      <c r="F64" s="72">
        <v>0.0</v>
      </c>
      <c r="G64" s="73">
        <v>200.0</v>
      </c>
      <c r="H64" s="74">
        <v>0.0</v>
      </c>
      <c r="I64" s="75"/>
      <c r="J64" s="74">
        <f t="shared" si="1"/>
        <v>2000</v>
      </c>
      <c r="K64" s="70" t="s">
        <v>51</v>
      </c>
      <c r="L64" s="71">
        <f t="shared" si="2"/>
        <v>2000</v>
      </c>
      <c r="M64" s="76" t="str">
        <f t="shared" si="3"/>
        <v>noviembre</v>
      </c>
      <c r="N64" s="76">
        <f t="shared" si="4"/>
        <v>2025</v>
      </c>
    </row>
    <row r="65" ht="22.5" customHeight="1">
      <c r="A65" s="67" t="str">
        <f t="array" ref="A65">XLOOKUP(B65,SERVICIOS!B:B,SERVICIOS!A:A,"")</f>
        <v>S01</v>
      </c>
      <c r="B65" s="68" t="s">
        <v>140</v>
      </c>
      <c r="C65" s="69">
        <v>45982.0</v>
      </c>
      <c r="D65" s="70" t="s">
        <v>145</v>
      </c>
      <c r="E65" s="71">
        <f t="array" ref="E65">XLOOKUP($D:$D,LISTA_SERVICIOS,LISTA_PRECIOS,0)</f>
        <v>2600</v>
      </c>
      <c r="F65" s="72">
        <v>0.0</v>
      </c>
      <c r="G65" s="73">
        <v>0.0</v>
      </c>
      <c r="H65" s="74">
        <v>1200.0</v>
      </c>
      <c r="I65" s="70" t="s">
        <v>46</v>
      </c>
      <c r="J65" s="74">
        <f t="shared" si="1"/>
        <v>1400</v>
      </c>
      <c r="K65" s="70" t="s">
        <v>51</v>
      </c>
      <c r="L65" s="71">
        <f t="shared" si="2"/>
        <v>2600</v>
      </c>
      <c r="M65" s="76" t="str">
        <f t="shared" si="3"/>
        <v>noviembre</v>
      </c>
      <c r="N65" s="76">
        <f t="shared" si="4"/>
        <v>2025</v>
      </c>
    </row>
    <row r="66" ht="22.5" customHeight="1">
      <c r="A66" s="67" t="str">
        <f t="array" ref="A66">XLOOKUP(B66,SERVICIOS!B:B,SERVICIOS!A:A,"")</f>
        <v>S02</v>
      </c>
      <c r="B66" s="68" t="s">
        <v>143</v>
      </c>
      <c r="C66" s="69">
        <v>45983.0</v>
      </c>
      <c r="D66" s="70" t="s">
        <v>58</v>
      </c>
      <c r="E66" s="71">
        <f t="array" ref="E66">XLOOKUP($D:$D,LISTA_SERVICIOS,LISTA_PRECIOS,0)</f>
        <v>650</v>
      </c>
      <c r="F66" s="72">
        <v>0.0</v>
      </c>
      <c r="G66" s="73">
        <v>0.0</v>
      </c>
      <c r="H66" s="74">
        <v>500.0</v>
      </c>
      <c r="I66" s="70" t="s">
        <v>46</v>
      </c>
      <c r="J66" s="74">
        <f t="shared" si="1"/>
        <v>150</v>
      </c>
      <c r="K66" s="70" t="s">
        <v>56</v>
      </c>
      <c r="L66" s="71">
        <f t="shared" si="2"/>
        <v>650</v>
      </c>
      <c r="M66" s="76" t="str">
        <f t="shared" si="3"/>
        <v>noviembre</v>
      </c>
      <c r="N66" s="76">
        <f t="shared" si="4"/>
        <v>2025</v>
      </c>
    </row>
    <row r="67" ht="22.5" customHeight="1">
      <c r="A67" s="67" t="str">
        <f t="array" ref="A67">XLOOKUP(B67,SERVICIOS!B:B,SERVICIOS!A:A,"")</f>
        <v>S02</v>
      </c>
      <c r="B67" s="68" t="s">
        <v>143</v>
      </c>
      <c r="C67" s="69">
        <v>45983.0</v>
      </c>
      <c r="D67" s="70" t="s">
        <v>43</v>
      </c>
      <c r="E67" s="71">
        <f t="array" ref="E67">XLOOKUP($D:$D,LISTA_SERVICIOS,LISTA_PRECIOS,0)</f>
        <v>600</v>
      </c>
      <c r="F67" s="72">
        <v>0.0</v>
      </c>
      <c r="G67" s="73">
        <v>0.0</v>
      </c>
      <c r="H67" s="74">
        <v>0.0</v>
      </c>
      <c r="I67" s="75"/>
      <c r="J67" s="74">
        <f t="shared" si="1"/>
        <v>600</v>
      </c>
      <c r="K67" s="70" t="s">
        <v>46</v>
      </c>
      <c r="L67" s="71">
        <f t="shared" si="2"/>
        <v>600</v>
      </c>
      <c r="M67" s="76" t="str">
        <f t="shared" si="3"/>
        <v>noviembre</v>
      </c>
      <c r="N67" s="76">
        <f t="shared" si="4"/>
        <v>2025</v>
      </c>
    </row>
    <row r="68" ht="22.5" customHeight="1">
      <c r="A68" s="67" t="str">
        <f t="array" ref="A68">XLOOKUP(B68,SERVICIOS!B:B,SERVICIOS!A:A,"")</f>
        <v>S02</v>
      </c>
      <c r="B68" s="68" t="s">
        <v>143</v>
      </c>
      <c r="C68" s="69">
        <v>45983.0</v>
      </c>
      <c r="D68" s="70" t="s">
        <v>48</v>
      </c>
      <c r="E68" s="71">
        <f t="array" ref="E68">XLOOKUP($D:$D,LISTA_SERVICIOS,LISTA_PRECIOS,0)</f>
        <v>650</v>
      </c>
      <c r="F68" s="72">
        <v>0.0</v>
      </c>
      <c r="G68" s="73">
        <v>0.0</v>
      </c>
      <c r="H68" s="74">
        <v>200.0</v>
      </c>
      <c r="I68" s="70" t="s">
        <v>46</v>
      </c>
      <c r="J68" s="74">
        <f t="shared" si="1"/>
        <v>450</v>
      </c>
      <c r="K68" s="70" t="s">
        <v>51</v>
      </c>
      <c r="L68" s="71">
        <f t="shared" si="2"/>
        <v>650</v>
      </c>
      <c r="M68" s="76" t="str">
        <f t="shared" si="3"/>
        <v>noviembre</v>
      </c>
      <c r="N68" s="76">
        <f t="shared" si="4"/>
        <v>2025</v>
      </c>
    </row>
    <row r="69" ht="22.5" customHeight="1">
      <c r="A69" s="67" t="str">
        <f t="array" ref="A69">XLOOKUP(B69,SERVICIOS!B:B,SERVICIOS!A:A,"")</f>
        <v>S01</v>
      </c>
      <c r="B69" s="68" t="s">
        <v>140</v>
      </c>
      <c r="C69" s="69">
        <v>45983.0</v>
      </c>
      <c r="D69" s="70" t="s">
        <v>144</v>
      </c>
      <c r="E69" s="71">
        <f t="array" ref="E69">XLOOKUP($D:$D,LISTA_SERVICIOS,LISTA_PRECIOS,0)</f>
        <v>1300</v>
      </c>
      <c r="F69" s="72">
        <v>0.0</v>
      </c>
      <c r="G69" s="73">
        <v>0.0</v>
      </c>
      <c r="H69" s="74">
        <v>0.0</v>
      </c>
      <c r="I69" s="75"/>
      <c r="J69" s="74">
        <f t="shared" si="1"/>
        <v>1300</v>
      </c>
      <c r="K69" s="70" t="s">
        <v>51</v>
      </c>
      <c r="L69" s="71">
        <f t="shared" si="2"/>
        <v>1300</v>
      </c>
      <c r="M69" s="76" t="str">
        <f t="shared" si="3"/>
        <v>noviembre</v>
      </c>
      <c r="N69" s="76">
        <f t="shared" si="4"/>
        <v>2025</v>
      </c>
    </row>
    <row r="70" ht="22.5" customHeight="1">
      <c r="A70" s="67" t="str">
        <f t="array" ref="A70">XLOOKUP(B70,SERVICIOS!B:B,SERVICIOS!A:A,"")</f>
        <v>S02</v>
      </c>
      <c r="B70" s="68" t="s">
        <v>143</v>
      </c>
      <c r="C70" s="69">
        <v>45983.0</v>
      </c>
      <c r="D70" s="70" t="s">
        <v>53</v>
      </c>
      <c r="E70" s="71">
        <f t="array" ref="E70">XLOOKUP($D:$D,LISTA_SERVICIOS,LISTA_PRECIOS,0)</f>
        <v>650</v>
      </c>
      <c r="F70" s="72">
        <v>0.0</v>
      </c>
      <c r="G70" s="73">
        <v>0.0</v>
      </c>
      <c r="H70" s="74">
        <v>0.0</v>
      </c>
      <c r="I70" s="75"/>
      <c r="J70" s="74">
        <f t="shared" si="1"/>
        <v>650</v>
      </c>
      <c r="K70" s="70" t="s">
        <v>51</v>
      </c>
      <c r="L70" s="71">
        <f t="shared" si="2"/>
        <v>650</v>
      </c>
      <c r="M70" s="76" t="str">
        <f t="shared" si="3"/>
        <v>noviembre</v>
      </c>
      <c r="N70" s="76">
        <f t="shared" si="4"/>
        <v>2025</v>
      </c>
    </row>
    <row r="71" ht="22.5" customHeight="1">
      <c r="A71" s="67" t="str">
        <f t="array" ref="A71">XLOOKUP(B71,SERVICIOS!B:B,SERVICIOS!A:A,"")</f>
        <v>S01</v>
      </c>
      <c r="B71" s="68" t="s">
        <v>140</v>
      </c>
      <c r="C71" s="69">
        <v>45983.0</v>
      </c>
      <c r="D71" s="70" t="s">
        <v>141</v>
      </c>
      <c r="E71" s="71">
        <f t="array" ref="E71">XLOOKUP($D:$D,LISTA_SERVICIOS,LISTA_PRECIOS,0)</f>
        <v>2200</v>
      </c>
      <c r="F71" s="72">
        <v>0.0</v>
      </c>
      <c r="G71" s="73">
        <v>200.0</v>
      </c>
      <c r="H71" s="74">
        <v>500.0</v>
      </c>
      <c r="I71" s="70" t="s">
        <v>46</v>
      </c>
      <c r="J71" s="74">
        <f t="shared" si="1"/>
        <v>1500</v>
      </c>
      <c r="K71" s="70" t="s">
        <v>51</v>
      </c>
      <c r="L71" s="71">
        <f t="shared" si="2"/>
        <v>2000</v>
      </c>
      <c r="M71" s="76" t="str">
        <f t="shared" si="3"/>
        <v>noviembre</v>
      </c>
      <c r="N71" s="76">
        <f t="shared" si="4"/>
        <v>2025</v>
      </c>
    </row>
    <row r="72" ht="22.5" customHeight="1">
      <c r="A72" s="67" t="str">
        <f t="array" ref="A72">XLOOKUP(B72,SERVICIOS!B:B,SERVICIOS!A:A,"")</f>
        <v>S03</v>
      </c>
      <c r="B72" s="68" t="s">
        <v>142</v>
      </c>
      <c r="C72" s="69">
        <v>45983.0</v>
      </c>
      <c r="D72" s="70" t="s">
        <v>69</v>
      </c>
      <c r="E72" s="71">
        <f t="array" ref="E72">XLOOKUP($D:$D,LISTA_SERVICIOS,LISTA_PRECIOS,0)</f>
        <v>6000</v>
      </c>
      <c r="F72" s="72">
        <v>0.0</v>
      </c>
      <c r="G72" s="73">
        <v>1500.0</v>
      </c>
      <c r="H72" s="74">
        <v>0.0</v>
      </c>
      <c r="I72" s="75"/>
      <c r="J72" s="74">
        <f t="shared" si="1"/>
        <v>4500</v>
      </c>
      <c r="K72" s="70" t="s">
        <v>51</v>
      </c>
      <c r="L72" s="71">
        <f t="shared" si="2"/>
        <v>4500</v>
      </c>
      <c r="M72" s="76" t="str">
        <f t="shared" si="3"/>
        <v>noviembre</v>
      </c>
      <c r="N72" s="76">
        <f t="shared" si="4"/>
        <v>2025</v>
      </c>
    </row>
    <row r="73" ht="22.5" customHeight="1">
      <c r="A73" s="67" t="str">
        <f t="array" ref="A73">XLOOKUP(B73,SERVICIOS!B:B,SERVICIOS!A:A,"")</f>
        <v>S04</v>
      </c>
      <c r="B73" s="68" t="s">
        <v>148</v>
      </c>
      <c r="C73" s="69">
        <v>45983.0</v>
      </c>
      <c r="D73" s="70" t="s">
        <v>150</v>
      </c>
      <c r="E73" s="71">
        <f t="array" ref="E73">XLOOKUP($D:$D,LISTA_SERVICIOS,LISTA_PRECIOS,0)</f>
        <v>7000</v>
      </c>
      <c r="F73" s="72">
        <v>0.0</v>
      </c>
      <c r="G73" s="73">
        <v>1000.0</v>
      </c>
      <c r="H73" s="74">
        <v>0.0</v>
      </c>
      <c r="I73" s="75"/>
      <c r="J73" s="74">
        <f t="shared" si="1"/>
        <v>6000</v>
      </c>
      <c r="K73" s="70" t="s">
        <v>51</v>
      </c>
      <c r="L73" s="71">
        <f t="shared" si="2"/>
        <v>6000</v>
      </c>
      <c r="M73" s="76" t="str">
        <f t="shared" si="3"/>
        <v>noviembre</v>
      </c>
      <c r="N73" s="76">
        <f t="shared" si="4"/>
        <v>2025</v>
      </c>
    </row>
    <row r="74" ht="22.5" customHeight="1">
      <c r="A74" s="67" t="str">
        <f t="array" ref="A74">XLOOKUP(B74,SERVICIOS!B:B,SERVICIOS!A:A,"")</f>
        <v>S03</v>
      </c>
      <c r="B74" s="68" t="s">
        <v>142</v>
      </c>
      <c r="C74" s="69">
        <v>45983.0</v>
      </c>
      <c r="D74" s="70" t="s">
        <v>39</v>
      </c>
      <c r="E74" s="71">
        <f t="array" ref="E74">XLOOKUP($D:$D,LISTA_SERVICIOS,LISTA_PRECIOS,0)</f>
        <v>2800</v>
      </c>
      <c r="F74" s="72">
        <v>500.0</v>
      </c>
      <c r="G74" s="73">
        <v>0.0</v>
      </c>
      <c r="H74" s="74">
        <v>0.0</v>
      </c>
      <c r="I74" s="75"/>
      <c r="J74" s="74">
        <f t="shared" si="1"/>
        <v>3300</v>
      </c>
      <c r="K74" s="70" t="s">
        <v>46</v>
      </c>
      <c r="L74" s="71">
        <f t="shared" si="2"/>
        <v>3300</v>
      </c>
      <c r="M74" s="76" t="str">
        <f t="shared" si="3"/>
        <v>noviembre</v>
      </c>
      <c r="N74" s="76">
        <f t="shared" si="4"/>
        <v>2025</v>
      </c>
    </row>
    <row r="75" ht="22.5" customHeight="1">
      <c r="A75" s="67" t="str">
        <f t="array" ref="A75">XLOOKUP(B75,SERVICIOS!B:B,SERVICIOS!A:A,"")</f>
        <v>S01</v>
      </c>
      <c r="B75" s="68" t="s">
        <v>140</v>
      </c>
      <c r="C75" s="69">
        <v>45983.0</v>
      </c>
      <c r="D75" s="70" t="s">
        <v>145</v>
      </c>
      <c r="E75" s="71">
        <f t="array" ref="E75">XLOOKUP($D:$D,LISTA_SERVICIOS,LISTA_PRECIOS,0)</f>
        <v>2600</v>
      </c>
      <c r="F75" s="72">
        <v>0.0</v>
      </c>
      <c r="G75" s="73">
        <v>200.0</v>
      </c>
      <c r="H75" s="74">
        <v>0.0</v>
      </c>
      <c r="I75" s="75"/>
      <c r="J75" s="74">
        <f t="shared" si="1"/>
        <v>2400</v>
      </c>
      <c r="K75" s="70" t="s">
        <v>46</v>
      </c>
      <c r="L75" s="71">
        <f t="shared" si="2"/>
        <v>2400</v>
      </c>
      <c r="M75" s="76" t="str">
        <f t="shared" si="3"/>
        <v>noviembre</v>
      </c>
      <c r="N75" s="76">
        <f t="shared" si="4"/>
        <v>2025</v>
      </c>
    </row>
    <row r="76" ht="22.5" customHeight="1">
      <c r="A76" s="67" t="str">
        <f t="array" ref="A76">XLOOKUP(B76,SERVICIOS!B:B,SERVICIOS!A:A,"")</f>
        <v>S02</v>
      </c>
      <c r="B76" s="68" t="s">
        <v>143</v>
      </c>
      <c r="C76" s="69">
        <v>45983.0</v>
      </c>
      <c r="D76" s="70" t="s">
        <v>68</v>
      </c>
      <c r="E76" s="71">
        <f t="array" ref="E76">XLOOKUP($D:$D,LISTA_SERVICIOS,LISTA_PRECIOS,0)</f>
        <v>800</v>
      </c>
      <c r="F76" s="72">
        <v>0.0</v>
      </c>
      <c r="G76" s="73">
        <v>0.0</v>
      </c>
      <c r="H76" s="74">
        <v>500.0</v>
      </c>
      <c r="I76" s="70" t="s">
        <v>46</v>
      </c>
      <c r="J76" s="74">
        <f t="shared" si="1"/>
        <v>300</v>
      </c>
      <c r="K76" s="70" t="s">
        <v>51</v>
      </c>
      <c r="L76" s="71">
        <f t="shared" si="2"/>
        <v>800</v>
      </c>
      <c r="M76" s="76" t="str">
        <f t="shared" si="3"/>
        <v>noviembre</v>
      </c>
      <c r="N76" s="76">
        <f t="shared" si="4"/>
        <v>2025</v>
      </c>
    </row>
    <row r="77" ht="22.5" customHeight="1">
      <c r="A77" s="67" t="str">
        <f t="array" ref="A77">XLOOKUP(B77,SERVICIOS!B:B,SERVICIOS!A:A,"")</f>
        <v>S02</v>
      </c>
      <c r="B77" s="68" t="s">
        <v>143</v>
      </c>
      <c r="C77" s="69">
        <v>45984.0</v>
      </c>
      <c r="D77" s="70" t="s">
        <v>48</v>
      </c>
      <c r="E77" s="71">
        <f t="array" ref="E77">XLOOKUP($D:$D,LISTA_SERVICIOS,LISTA_PRECIOS,0)</f>
        <v>650</v>
      </c>
      <c r="F77" s="72">
        <v>0.0</v>
      </c>
      <c r="G77" s="73">
        <v>0.0</v>
      </c>
      <c r="H77" s="74">
        <v>350.0</v>
      </c>
      <c r="I77" s="70" t="s">
        <v>46</v>
      </c>
      <c r="J77" s="74">
        <f t="shared" si="1"/>
        <v>300</v>
      </c>
      <c r="K77" s="70" t="s">
        <v>51</v>
      </c>
      <c r="L77" s="71">
        <f t="shared" si="2"/>
        <v>650</v>
      </c>
      <c r="M77" s="76" t="str">
        <f t="shared" si="3"/>
        <v>noviembre</v>
      </c>
      <c r="N77" s="76">
        <f t="shared" si="4"/>
        <v>2025</v>
      </c>
    </row>
    <row r="78" ht="22.5" customHeight="1">
      <c r="A78" s="67" t="str">
        <f t="array" ref="A78">XLOOKUP(B78,SERVICIOS!B:B,SERVICIOS!A:A,"")</f>
        <v>S01</v>
      </c>
      <c r="B78" s="68" t="s">
        <v>140</v>
      </c>
      <c r="C78" s="69">
        <v>45984.0</v>
      </c>
      <c r="D78" s="70" t="s">
        <v>141</v>
      </c>
      <c r="E78" s="71">
        <f t="array" ref="E78">XLOOKUP($D:$D,LISTA_SERVICIOS,LISTA_PRECIOS,0)</f>
        <v>2200</v>
      </c>
      <c r="F78" s="72">
        <v>0.0</v>
      </c>
      <c r="G78" s="73">
        <v>0.0</v>
      </c>
      <c r="H78" s="74">
        <v>600.0</v>
      </c>
      <c r="I78" s="70" t="s">
        <v>46</v>
      </c>
      <c r="J78" s="74">
        <f t="shared" si="1"/>
        <v>1600</v>
      </c>
      <c r="K78" s="70" t="s">
        <v>51</v>
      </c>
      <c r="L78" s="71">
        <f t="shared" si="2"/>
        <v>2200</v>
      </c>
      <c r="M78" s="76" t="str">
        <f t="shared" si="3"/>
        <v>noviembre</v>
      </c>
      <c r="N78" s="76">
        <f t="shared" si="4"/>
        <v>2025</v>
      </c>
    </row>
    <row r="79" ht="22.5" customHeight="1">
      <c r="A79" s="67" t="str">
        <f t="array" ref="A79">XLOOKUP(B79,SERVICIOS!B:B,SERVICIOS!A:A,"")</f>
        <v>S02</v>
      </c>
      <c r="B79" s="68" t="s">
        <v>143</v>
      </c>
      <c r="C79" s="69">
        <v>45984.0</v>
      </c>
      <c r="D79" s="70" t="s">
        <v>38</v>
      </c>
      <c r="E79" s="71">
        <f t="array" ref="E79">XLOOKUP($D:$D,LISTA_SERVICIOS,LISTA_PRECIOS,0)</f>
        <v>600</v>
      </c>
      <c r="F79" s="72">
        <v>0.0</v>
      </c>
      <c r="G79" s="73">
        <v>200.0</v>
      </c>
      <c r="H79" s="74">
        <v>0.0</v>
      </c>
      <c r="I79" s="75"/>
      <c r="J79" s="74">
        <f t="shared" si="1"/>
        <v>400</v>
      </c>
      <c r="K79" s="70" t="s">
        <v>51</v>
      </c>
      <c r="L79" s="71">
        <f t="shared" si="2"/>
        <v>400</v>
      </c>
      <c r="M79" s="76" t="str">
        <f t="shared" si="3"/>
        <v>noviembre</v>
      </c>
      <c r="N79" s="76">
        <f t="shared" si="4"/>
        <v>2025</v>
      </c>
    </row>
    <row r="80" ht="22.5" customHeight="1">
      <c r="A80" s="67" t="str">
        <f t="array" ref="A80">XLOOKUP(B80,SERVICIOS!B:B,SERVICIOS!A:A,"")</f>
        <v>S01</v>
      </c>
      <c r="B80" s="68" t="s">
        <v>140</v>
      </c>
      <c r="C80" s="69">
        <v>45984.0</v>
      </c>
      <c r="D80" s="70" t="s">
        <v>141</v>
      </c>
      <c r="E80" s="71">
        <f t="array" ref="E80">XLOOKUP($D:$D,LISTA_SERVICIOS,LISTA_PRECIOS,0)</f>
        <v>2200</v>
      </c>
      <c r="F80" s="72">
        <v>0.0</v>
      </c>
      <c r="G80" s="73">
        <v>250.0</v>
      </c>
      <c r="H80" s="74">
        <v>1500.0</v>
      </c>
      <c r="I80" s="70" t="s">
        <v>46</v>
      </c>
      <c r="J80" s="74">
        <f t="shared" si="1"/>
        <v>450</v>
      </c>
      <c r="K80" s="70" t="s">
        <v>51</v>
      </c>
      <c r="L80" s="71">
        <f t="shared" si="2"/>
        <v>1950</v>
      </c>
      <c r="M80" s="76" t="str">
        <f t="shared" si="3"/>
        <v>noviembre</v>
      </c>
      <c r="N80" s="76">
        <f t="shared" si="4"/>
        <v>2025</v>
      </c>
    </row>
    <row r="81" ht="22.5" customHeight="1">
      <c r="A81" s="67" t="str">
        <f t="array" ref="A81">XLOOKUP(B81,SERVICIOS!B:B,SERVICIOS!A:A,"")</f>
        <v>S02</v>
      </c>
      <c r="B81" s="68" t="s">
        <v>143</v>
      </c>
      <c r="C81" s="69">
        <v>45984.0</v>
      </c>
      <c r="D81" s="70" t="s">
        <v>58</v>
      </c>
      <c r="E81" s="71">
        <f t="array" ref="E81">XLOOKUP($D:$D,LISTA_SERVICIOS,LISTA_PRECIOS,0)</f>
        <v>650</v>
      </c>
      <c r="F81" s="72">
        <v>0.0</v>
      </c>
      <c r="G81" s="73">
        <v>0.0</v>
      </c>
      <c r="H81" s="74">
        <v>0.0</v>
      </c>
      <c r="I81" s="75"/>
      <c r="J81" s="74">
        <f t="shared" si="1"/>
        <v>650</v>
      </c>
      <c r="K81" s="70" t="s">
        <v>51</v>
      </c>
      <c r="L81" s="71">
        <f t="shared" si="2"/>
        <v>650</v>
      </c>
      <c r="M81" s="76" t="str">
        <f t="shared" si="3"/>
        <v>noviembre</v>
      </c>
      <c r="N81" s="76">
        <f t="shared" si="4"/>
        <v>2025</v>
      </c>
    </row>
    <row r="82" ht="22.5" customHeight="1">
      <c r="A82" s="67" t="str">
        <f t="array" ref="A82">XLOOKUP(B82,SERVICIOS!B:B,SERVICIOS!A:A,"")</f>
        <v>S02</v>
      </c>
      <c r="B82" s="68" t="s">
        <v>143</v>
      </c>
      <c r="C82" s="69">
        <v>45989.0</v>
      </c>
      <c r="D82" s="70" t="s">
        <v>68</v>
      </c>
      <c r="E82" s="71">
        <f t="array" ref="E82">XLOOKUP($D:$D,LISTA_SERVICIOS,LISTA_PRECIOS,0)</f>
        <v>800</v>
      </c>
      <c r="F82" s="72">
        <v>0.0</v>
      </c>
      <c r="G82" s="73">
        <v>0.0</v>
      </c>
      <c r="H82" s="74">
        <v>0.0</v>
      </c>
      <c r="I82" s="75"/>
      <c r="J82" s="74">
        <f t="shared" si="1"/>
        <v>800</v>
      </c>
      <c r="K82" s="70" t="s">
        <v>46</v>
      </c>
      <c r="L82" s="71">
        <f t="shared" si="2"/>
        <v>800</v>
      </c>
      <c r="M82" s="76" t="str">
        <f t="shared" si="3"/>
        <v>noviembre</v>
      </c>
      <c r="N82" s="76">
        <f t="shared" si="4"/>
        <v>2025</v>
      </c>
    </row>
    <row r="83" ht="22.5" customHeight="1">
      <c r="A83" s="67" t="str">
        <f t="array" ref="A83">XLOOKUP(B83,SERVICIOS!B:B,SERVICIOS!A:A,"")</f>
        <v>S03</v>
      </c>
      <c r="B83" s="68" t="s">
        <v>142</v>
      </c>
      <c r="C83" s="69">
        <v>45989.0</v>
      </c>
      <c r="D83" s="70" t="s">
        <v>69</v>
      </c>
      <c r="E83" s="71">
        <f t="array" ref="E83">XLOOKUP($D:$D,LISTA_SERVICIOS,LISTA_PRECIOS,0)</f>
        <v>6000</v>
      </c>
      <c r="F83" s="72">
        <v>0.0</v>
      </c>
      <c r="G83" s="73">
        <v>0.0</v>
      </c>
      <c r="H83" s="74">
        <v>5000.0</v>
      </c>
      <c r="I83" s="70" t="s">
        <v>56</v>
      </c>
      <c r="J83" s="74">
        <f t="shared" si="1"/>
        <v>1000</v>
      </c>
      <c r="K83" s="70" t="s">
        <v>46</v>
      </c>
      <c r="L83" s="71">
        <f t="shared" si="2"/>
        <v>6000</v>
      </c>
      <c r="M83" s="76" t="str">
        <f t="shared" si="3"/>
        <v>noviembre</v>
      </c>
      <c r="N83" s="76">
        <f t="shared" si="4"/>
        <v>2025</v>
      </c>
    </row>
    <row r="84" ht="22.5" customHeight="1">
      <c r="A84" s="67" t="str">
        <f t="array" ref="A84">XLOOKUP(B84,SERVICIOS!B:B,SERVICIOS!A:A,"")</f>
        <v>S04</v>
      </c>
      <c r="B84" s="68" t="s">
        <v>148</v>
      </c>
      <c r="C84" s="69">
        <v>45989.0</v>
      </c>
      <c r="D84" s="70" t="s">
        <v>149</v>
      </c>
      <c r="E84" s="71">
        <f t="array" ref="E84">XLOOKUP($D:$D,LISTA_SERVICIOS,LISTA_PRECIOS,0)</f>
        <v>5000</v>
      </c>
      <c r="F84" s="72">
        <v>0.0</v>
      </c>
      <c r="G84" s="73">
        <v>0.0</v>
      </c>
      <c r="H84" s="74">
        <v>3000.0</v>
      </c>
      <c r="I84" s="70" t="s">
        <v>46</v>
      </c>
      <c r="J84" s="74">
        <f t="shared" si="1"/>
        <v>2000</v>
      </c>
      <c r="K84" s="70" t="s">
        <v>51</v>
      </c>
      <c r="L84" s="71">
        <f t="shared" si="2"/>
        <v>5000</v>
      </c>
      <c r="M84" s="76" t="str">
        <f t="shared" si="3"/>
        <v>noviembre</v>
      </c>
      <c r="N84" s="76">
        <f t="shared" si="4"/>
        <v>2025</v>
      </c>
    </row>
    <row r="85" ht="22.5" customHeight="1">
      <c r="A85" s="67" t="str">
        <f t="array" ref="A85">XLOOKUP(B85,SERVICIOS!B:B,SERVICIOS!A:A,"")</f>
        <v>S01</v>
      </c>
      <c r="B85" s="68" t="s">
        <v>140</v>
      </c>
      <c r="C85" s="69">
        <v>45989.0</v>
      </c>
      <c r="D85" s="70" t="s">
        <v>146</v>
      </c>
      <c r="E85" s="71">
        <f t="array" ref="E85">XLOOKUP($D:$D,LISTA_SERVICIOS,LISTA_PRECIOS,0)</f>
        <v>3000</v>
      </c>
      <c r="F85" s="72">
        <v>0.0</v>
      </c>
      <c r="G85" s="73">
        <v>0.0</v>
      </c>
      <c r="H85" s="74">
        <v>0.0</v>
      </c>
      <c r="I85" s="75"/>
      <c r="J85" s="74">
        <f t="shared" si="1"/>
        <v>3000</v>
      </c>
      <c r="K85" s="70" t="s">
        <v>51</v>
      </c>
      <c r="L85" s="71">
        <f t="shared" si="2"/>
        <v>3000</v>
      </c>
      <c r="M85" s="76" t="str">
        <f t="shared" si="3"/>
        <v>noviembre</v>
      </c>
      <c r="N85" s="76">
        <f t="shared" si="4"/>
        <v>2025</v>
      </c>
    </row>
    <row r="86" ht="22.5" customHeight="1">
      <c r="A86" s="67" t="str">
        <f t="array" ref="A86">XLOOKUP(B86,SERVICIOS!B:B,SERVICIOS!A:A,"")</f>
        <v>S02</v>
      </c>
      <c r="B86" s="68" t="s">
        <v>143</v>
      </c>
      <c r="C86" s="69">
        <v>45990.0</v>
      </c>
      <c r="D86" s="70" t="s">
        <v>43</v>
      </c>
      <c r="E86" s="71">
        <f t="array" ref="E86">XLOOKUP($D:$D,LISTA_SERVICIOS,LISTA_PRECIOS,0)</f>
        <v>600</v>
      </c>
      <c r="F86" s="72">
        <v>0.0</v>
      </c>
      <c r="G86" s="73">
        <v>0.0</v>
      </c>
      <c r="H86" s="74">
        <v>420.0</v>
      </c>
      <c r="I86" s="70" t="s">
        <v>51</v>
      </c>
      <c r="J86" s="74">
        <f t="shared" si="1"/>
        <v>180</v>
      </c>
      <c r="K86" s="70" t="s">
        <v>46</v>
      </c>
      <c r="L86" s="71">
        <f t="shared" si="2"/>
        <v>600</v>
      </c>
      <c r="M86" s="76" t="str">
        <f t="shared" si="3"/>
        <v>noviembre</v>
      </c>
      <c r="N86" s="76">
        <f t="shared" si="4"/>
        <v>2025</v>
      </c>
    </row>
    <row r="87" ht="22.5" customHeight="1">
      <c r="A87" s="67" t="str">
        <f t="array" ref="A87">XLOOKUP(B87,SERVICIOS!B:B,SERVICIOS!A:A,"")</f>
        <v>S01</v>
      </c>
      <c r="B87" s="68" t="s">
        <v>140</v>
      </c>
      <c r="C87" s="69">
        <v>45990.0</v>
      </c>
      <c r="D87" s="70" t="s">
        <v>146</v>
      </c>
      <c r="E87" s="71">
        <f t="array" ref="E87">XLOOKUP($D:$D,LISTA_SERVICIOS,LISTA_PRECIOS,0)</f>
        <v>3000</v>
      </c>
      <c r="F87" s="72">
        <v>0.0</v>
      </c>
      <c r="G87" s="73">
        <v>200.0</v>
      </c>
      <c r="H87" s="74">
        <v>1000.0</v>
      </c>
      <c r="I87" s="70" t="s">
        <v>56</v>
      </c>
      <c r="J87" s="74">
        <f t="shared" si="1"/>
        <v>1800</v>
      </c>
      <c r="K87" s="70" t="s">
        <v>51</v>
      </c>
      <c r="L87" s="71">
        <f t="shared" si="2"/>
        <v>2800</v>
      </c>
      <c r="M87" s="76" t="str">
        <f t="shared" si="3"/>
        <v>noviembre</v>
      </c>
      <c r="N87" s="76">
        <f t="shared" si="4"/>
        <v>2025</v>
      </c>
    </row>
    <row r="88" ht="22.5" customHeight="1">
      <c r="A88" s="67" t="str">
        <f t="array" ref="A88">XLOOKUP(B88,SERVICIOS!B:B,SERVICIOS!A:A,"")</f>
        <v>S02</v>
      </c>
      <c r="B88" s="68" t="s">
        <v>143</v>
      </c>
      <c r="C88" s="69">
        <v>45990.0</v>
      </c>
      <c r="D88" s="70" t="s">
        <v>38</v>
      </c>
      <c r="E88" s="71">
        <f t="array" ref="E88">XLOOKUP($D:$D,LISTA_SERVICIOS,LISTA_PRECIOS,0)</f>
        <v>600</v>
      </c>
      <c r="F88" s="72">
        <v>0.0</v>
      </c>
      <c r="G88" s="73">
        <v>0.0</v>
      </c>
      <c r="H88" s="74">
        <v>0.0</v>
      </c>
      <c r="I88" s="75"/>
      <c r="J88" s="74">
        <f t="shared" si="1"/>
        <v>600</v>
      </c>
      <c r="K88" s="70" t="s">
        <v>46</v>
      </c>
      <c r="L88" s="71">
        <f t="shared" si="2"/>
        <v>600</v>
      </c>
      <c r="M88" s="76" t="str">
        <f t="shared" si="3"/>
        <v>noviembre</v>
      </c>
      <c r="N88" s="76">
        <f t="shared" si="4"/>
        <v>2025</v>
      </c>
    </row>
    <row r="89" ht="22.5" customHeight="1">
      <c r="A89" s="67" t="str">
        <f t="array" ref="A89">XLOOKUP(B89,SERVICIOS!B:B,SERVICIOS!A:A,"")</f>
        <v>S02</v>
      </c>
      <c r="B89" s="68" t="s">
        <v>151</v>
      </c>
      <c r="C89" s="69">
        <v>45990.0</v>
      </c>
      <c r="D89" s="70" t="s">
        <v>58</v>
      </c>
      <c r="E89" s="71">
        <f t="array" ref="E89">XLOOKUP($D:$D,LISTA_SERVICIOS,LISTA_PRECIOS,0)</f>
        <v>650</v>
      </c>
      <c r="F89" s="72">
        <v>0.0</v>
      </c>
      <c r="G89" s="73">
        <v>0.0</v>
      </c>
      <c r="H89" s="74">
        <v>300.0</v>
      </c>
      <c r="I89" s="70" t="s">
        <v>46</v>
      </c>
      <c r="J89" s="74">
        <f t="shared" si="1"/>
        <v>350</v>
      </c>
      <c r="K89" s="70" t="s">
        <v>51</v>
      </c>
      <c r="L89" s="71">
        <f t="shared" si="2"/>
        <v>650</v>
      </c>
      <c r="M89" s="76" t="str">
        <f t="shared" si="3"/>
        <v>noviembre</v>
      </c>
      <c r="N89" s="76">
        <f t="shared" si="4"/>
        <v>2025</v>
      </c>
    </row>
    <row r="90" ht="22.5" customHeight="1">
      <c r="A90" s="67" t="str">
        <f t="array" ref="A90">XLOOKUP(B90,SERVICIOS!B:B,SERVICIOS!A:A,"")</f>
        <v>S01</v>
      </c>
      <c r="B90" s="68" t="s">
        <v>140</v>
      </c>
      <c r="C90" s="69">
        <v>45990.0</v>
      </c>
      <c r="D90" s="70" t="s">
        <v>146</v>
      </c>
      <c r="E90" s="71">
        <f t="array" ref="E90">XLOOKUP($D:$D,LISTA_SERVICIOS,LISTA_PRECIOS,0)</f>
        <v>3000</v>
      </c>
      <c r="F90" s="72">
        <v>0.0</v>
      </c>
      <c r="G90" s="73">
        <v>0.0</v>
      </c>
      <c r="H90" s="74">
        <v>1500.0</v>
      </c>
      <c r="I90" s="70" t="s">
        <v>46</v>
      </c>
      <c r="J90" s="74">
        <f t="shared" si="1"/>
        <v>1500</v>
      </c>
      <c r="K90" s="70" t="s">
        <v>51</v>
      </c>
      <c r="L90" s="71">
        <f t="shared" si="2"/>
        <v>3000</v>
      </c>
      <c r="M90" s="76" t="str">
        <f t="shared" si="3"/>
        <v>noviembre</v>
      </c>
      <c r="N90" s="76">
        <f t="shared" si="4"/>
        <v>2025</v>
      </c>
    </row>
    <row r="91" ht="22.5" customHeight="1">
      <c r="A91" s="67" t="str">
        <f t="array" ref="A91">XLOOKUP(B91,SERVICIOS!B:B,SERVICIOS!A:A,"")</f>
        <v>S03</v>
      </c>
      <c r="B91" s="68" t="s">
        <v>142</v>
      </c>
      <c r="C91" s="69">
        <v>45990.0</v>
      </c>
      <c r="D91" s="70" t="s">
        <v>39</v>
      </c>
      <c r="E91" s="71">
        <f t="array" ref="E91">XLOOKUP($D:$D,LISTA_SERVICIOS,LISTA_PRECIOS,0)</f>
        <v>2800</v>
      </c>
      <c r="F91" s="72">
        <v>0.0</v>
      </c>
      <c r="G91" s="73">
        <v>300.0</v>
      </c>
      <c r="H91" s="74">
        <v>0.0</v>
      </c>
      <c r="I91" s="75"/>
      <c r="J91" s="74">
        <f t="shared" si="1"/>
        <v>2500</v>
      </c>
      <c r="K91" s="70" t="s">
        <v>51</v>
      </c>
      <c r="L91" s="71">
        <f t="shared" si="2"/>
        <v>2500</v>
      </c>
      <c r="M91" s="76" t="str">
        <f t="shared" si="3"/>
        <v>noviembre</v>
      </c>
      <c r="N91" s="76">
        <f t="shared" si="4"/>
        <v>2025</v>
      </c>
    </row>
    <row r="92" ht="22.5" customHeight="1">
      <c r="A92" s="67" t="str">
        <f t="array" ref="A92">XLOOKUP(B92,SERVICIOS!B:B,SERVICIOS!A:A,"")</f>
        <v>S03</v>
      </c>
      <c r="B92" s="68" t="s">
        <v>142</v>
      </c>
      <c r="C92" s="69">
        <v>45990.0</v>
      </c>
      <c r="D92" s="70" t="s">
        <v>39</v>
      </c>
      <c r="E92" s="71">
        <f t="array" ref="E92">XLOOKUP($D:$D,LISTA_SERVICIOS,LISTA_PRECIOS,0)</f>
        <v>2800</v>
      </c>
      <c r="F92" s="72">
        <v>0.0</v>
      </c>
      <c r="G92" s="73">
        <v>1400.0</v>
      </c>
      <c r="H92" s="74">
        <v>0.0</v>
      </c>
      <c r="I92" s="75"/>
      <c r="J92" s="74">
        <f t="shared" si="1"/>
        <v>1400</v>
      </c>
      <c r="K92" s="70" t="s">
        <v>46</v>
      </c>
      <c r="L92" s="71">
        <f t="shared" si="2"/>
        <v>1400</v>
      </c>
      <c r="M92" s="76" t="str">
        <f t="shared" si="3"/>
        <v>noviembre</v>
      </c>
      <c r="N92" s="76">
        <f t="shared" si="4"/>
        <v>2025</v>
      </c>
    </row>
    <row r="93" ht="22.5" customHeight="1">
      <c r="A93" s="67" t="str">
        <f t="array" ref="A93">XLOOKUP(B93,SERVICIOS!B:B,SERVICIOS!A:A,"")</f>
        <v>S02</v>
      </c>
      <c r="B93" s="68" t="s">
        <v>143</v>
      </c>
      <c r="C93" s="69">
        <v>45991.0</v>
      </c>
      <c r="D93" s="70" t="s">
        <v>53</v>
      </c>
      <c r="E93" s="71">
        <f t="array" ref="E93">XLOOKUP($D:$D,LISTA_SERVICIOS,LISTA_PRECIOS,0)</f>
        <v>650</v>
      </c>
      <c r="F93" s="72">
        <v>0.0</v>
      </c>
      <c r="G93" s="73">
        <v>0.0</v>
      </c>
      <c r="H93" s="74">
        <v>0.0</v>
      </c>
      <c r="I93" s="75"/>
      <c r="J93" s="74">
        <f t="shared" si="1"/>
        <v>650</v>
      </c>
      <c r="K93" s="70" t="s">
        <v>51</v>
      </c>
      <c r="L93" s="71">
        <f t="shared" si="2"/>
        <v>650</v>
      </c>
      <c r="M93" s="76" t="str">
        <f t="shared" si="3"/>
        <v>noviembre</v>
      </c>
      <c r="N93" s="76">
        <f t="shared" si="4"/>
        <v>2025</v>
      </c>
    </row>
    <row r="94" ht="22.5" customHeight="1">
      <c r="A94" s="67" t="str">
        <f t="array" ref="A94">XLOOKUP(B94,SERVICIOS!B:B,SERVICIOS!A:A,"")</f>
        <v>S03</v>
      </c>
      <c r="B94" s="68" t="s">
        <v>142</v>
      </c>
      <c r="C94" s="69">
        <v>45991.0</v>
      </c>
      <c r="D94" s="70" t="s">
        <v>54</v>
      </c>
      <c r="E94" s="71">
        <f t="array" ref="E94">XLOOKUP($D:$D,LISTA_SERVICIOS,LISTA_PRECIOS,0)</f>
        <v>4000</v>
      </c>
      <c r="F94" s="72">
        <v>0.0</v>
      </c>
      <c r="G94" s="73">
        <v>200.0</v>
      </c>
      <c r="H94" s="74">
        <v>0.0</v>
      </c>
      <c r="I94" s="75"/>
      <c r="J94" s="74">
        <f t="shared" si="1"/>
        <v>3800</v>
      </c>
      <c r="K94" s="70" t="s">
        <v>51</v>
      </c>
      <c r="L94" s="71">
        <f t="shared" si="2"/>
        <v>3800</v>
      </c>
      <c r="M94" s="76" t="str">
        <f t="shared" si="3"/>
        <v>noviembre</v>
      </c>
      <c r="N94" s="76">
        <f t="shared" si="4"/>
        <v>2025</v>
      </c>
    </row>
    <row r="95" ht="22.5" customHeight="1">
      <c r="A95" s="67" t="str">
        <f t="array" ref="A95">XLOOKUP(B95,SERVICIOS!B:B,SERVICIOS!A:A,"")</f>
        <v>S02</v>
      </c>
      <c r="B95" s="68" t="s">
        <v>143</v>
      </c>
      <c r="C95" s="69">
        <v>45991.0</v>
      </c>
      <c r="D95" s="70" t="s">
        <v>58</v>
      </c>
      <c r="E95" s="71">
        <f t="array" ref="E95">XLOOKUP($D:$D,LISTA_SERVICIOS,LISTA_PRECIOS,0)</f>
        <v>650</v>
      </c>
      <c r="F95" s="72">
        <v>0.0</v>
      </c>
      <c r="G95" s="73">
        <v>0.0</v>
      </c>
      <c r="H95" s="74">
        <v>0.0</v>
      </c>
      <c r="I95" s="75"/>
      <c r="J95" s="74">
        <f t="shared" si="1"/>
        <v>650</v>
      </c>
      <c r="K95" s="70" t="s">
        <v>51</v>
      </c>
      <c r="L95" s="71">
        <f t="shared" si="2"/>
        <v>650</v>
      </c>
      <c r="M95" s="76" t="str">
        <f t="shared" si="3"/>
        <v>noviembre</v>
      </c>
      <c r="N95" s="76">
        <f t="shared" si="4"/>
        <v>2025</v>
      </c>
    </row>
    <row r="96" ht="22.5" customHeight="1">
      <c r="A96" s="67" t="str">
        <f t="array" ref="A96">XLOOKUP(B96,SERVICIOS!B:B,SERVICIOS!A:A,"")</f>
        <v>S03</v>
      </c>
      <c r="B96" s="68" t="s">
        <v>142</v>
      </c>
      <c r="C96" s="69">
        <v>45996.0</v>
      </c>
      <c r="D96" s="70" t="s">
        <v>39</v>
      </c>
      <c r="E96" s="71">
        <f t="array" ref="E96">XLOOKUP($D:$D,LISTA_SERVICIOS,LISTA_PRECIOS,0)</f>
        <v>2800</v>
      </c>
      <c r="F96" s="72">
        <v>1500.0</v>
      </c>
      <c r="G96" s="73">
        <v>0.0</v>
      </c>
      <c r="H96" s="74">
        <v>3200.0</v>
      </c>
      <c r="I96" s="70" t="s">
        <v>46</v>
      </c>
      <c r="J96" s="74">
        <f t="shared" si="1"/>
        <v>1100</v>
      </c>
      <c r="K96" s="70" t="s">
        <v>51</v>
      </c>
      <c r="L96" s="71">
        <f t="shared" si="2"/>
        <v>4300</v>
      </c>
      <c r="M96" s="76" t="str">
        <f t="shared" si="3"/>
        <v>diciembre</v>
      </c>
      <c r="N96" s="76">
        <f t="shared" si="4"/>
        <v>2025</v>
      </c>
    </row>
    <row r="97" ht="22.5" customHeight="1">
      <c r="A97" s="67" t="str">
        <f t="array" ref="A97">XLOOKUP(B97,SERVICIOS!B:B,SERVICIOS!A:A,"")</f>
        <v>S02</v>
      </c>
      <c r="B97" s="68" t="s">
        <v>143</v>
      </c>
      <c r="C97" s="69">
        <v>45997.0</v>
      </c>
      <c r="D97" s="70" t="s">
        <v>58</v>
      </c>
      <c r="E97" s="71">
        <f t="array" ref="E97">XLOOKUP($D:$D,LISTA_SERVICIOS,LISTA_PRECIOS,0)</f>
        <v>650</v>
      </c>
      <c r="F97" s="72">
        <v>0.0</v>
      </c>
      <c r="G97" s="73">
        <v>0.0</v>
      </c>
      <c r="H97" s="74">
        <v>200.0</v>
      </c>
      <c r="I97" s="70" t="s">
        <v>46</v>
      </c>
      <c r="J97" s="74">
        <f t="shared" si="1"/>
        <v>450</v>
      </c>
      <c r="K97" s="70" t="s">
        <v>46</v>
      </c>
      <c r="L97" s="71">
        <f t="shared" si="2"/>
        <v>650</v>
      </c>
      <c r="M97" s="76" t="str">
        <f t="shared" si="3"/>
        <v>diciembre</v>
      </c>
      <c r="N97" s="76">
        <f t="shared" si="4"/>
        <v>2025</v>
      </c>
    </row>
    <row r="98" ht="22.5" customHeight="1">
      <c r="A98" s="67" t="str">
        <f t="array" ref="A98">XLOOKUP(B98,SERVICIOS!B:B,SERVICIOS!A:A,"")</f>
        <v>S02</v>
      </c>
      <c r="B98" s="68" t="s">
        <v>143</v>
      </c>
      <c r="C98" s="69">
        <v>45997.0</v>
      </c>
      <c r="D98" s="70" t="s">
        <v>48</v>
      </c>
      <c r="E98" s="71">
        <f t="array" ref="E98">XLOOKUP($D:$D,LISTA_SERVICIOS,LISTA_PRECIOS,0)</f>
        <v>650</v>
      </c>
      <c r="F98" s="72">
        <v>0.0</v>
      </c>
      <c r="G98" s="73">
        <v>0.0</v>
      </c>
      <c r="H98" s="74">
        <v>200.0</v>
      </c>
      <c r="I98" s="70" t="s">
        <v>46</v>
      </c>
      <c r="J98" s="74">
        <f t="shared" si="1"/>
        <v>450</v>
      </c>
      <c r="K98" s="70" t="s">
        <v>46</v>
      </c>
      <c r="L98" s="71">
        <f t="shared" si="2"/>
        <v>650</v>
      </c>
      <c r="M98" s="76" t="str">
        <f t="shared" si="3"/>
        <v>diciembre</v>
      </c>
      <c r="N98" s="76">
        <f t="shared" si="4"/>
        <v>2025</v>
      </c>
    </row>
    <row r="99" ht="22.5" customHeight="1">
      <c r="A99" s="67" t="str">
        <f t="array" ref="A99">XLOOKUP(B99,SERVICIOS!B:B,SERVICIOS!A:A,"")</f>
        <v>S04</v>
      </c>
      <c r="B99" s="68" t="s">
        <v>148</v>
      </c>
      <c r="C99" s="69">
        <v>45997.0</v>
      </c>
      <c r="D99" s="70" t="s">
        <v>152</v>
      </c>
      <c r="E99" s="71">
        <f t="array" ref="E99">XLOOKUP($D:$D,LISTA_SERVICIOS,LISTA_PRECIOS,0)</f>
        <v>2000</v>
      </c>
      <c r="F99" s="72">
        <v>200.0</v>
      </c>
      <c r="G99" s="73">
        <v>0.0</v>
      </c>
      <c r="H99" s="74">
        <v>1000.0</v>
      </c>
      <c r="I99" s="70" t="s">
        <v>46</v>
      </c>
      <c r="J99" s="74">
        <f t="shared" si="1"/>
        <v>1200</v>
      </c>
      <c r="K99" s="70" t="s">
        <v>46</v>
      </c>
      <c r="L99" s="71">
        <f t="shared" si="2"/>
        <v>2200</v>
      </c>
      <c r="M99" s="76" t="str">
        <f t="shared" si="3"/>
        <v>diciembre</v>
      </c>
      <c r="N99" s="76">
        <f t="shared" si="4"/>
        <v>2025</v>
      </c>
    </row>
    <row r="100" ht="22.5" customHeight="1">
      <c r="A100" s="67" t="str">
        <f t="array" ref="A100">XLOOKUP(B100,SERVICIOS!B:B,SERVICIOS!A:A,"")</f>
        <v>S04</v>
      </c>
      <c r="B100" s="68" t="s">
        <v>148</v>
      </c>
      <c r="C100" s="69">
        <v>45997.0</v>
      </c>
      <c r="D100" s="70" t="s">
        <v>149</v>
      </c>
      <c r="E100" s="71">
        <f t="array" ref="E100">XLOOKUP($D:$D,LISTA_SERVICIOS,LISTA_PRECIOS,0)</f>
        <v>5000</v>
      </c>
      <c r="F100" s="72">
        <v>0.0</v>
      </c>
      <c r="G100" s="73">
        <v>0.0</v>
      </c>
      <c r="H100" s="74">
        <v>0.0</v>
      </c>
      <c r="I100" s="75"/>
      <c r="J100" s="74">
        <f t="shared" si="1"/>
        <v>5000</v>
      </c>
      <c r="K100" s="70" t="s">
        <v>46</v>
      </c>
      <c r="L100" s="71">
        <f t="shared" si="2"/>
        <v>5000</v>
      </c>
      <c r="M100" s="76" t="str">
        <f t="shared" si="3"/>
        <v>diciembre</v>
      </c>
      <c r="N100" s="76">
        <f t="shared" si="4"/>
        <v>2025</v>
      </c>
    </row>
    <row r="101" ht="22.5" customHeight="1">
      <c r="A101" s="67" t="str">
        <f t="array" ref="A101">XLOOKUP(B101,SERVICIOS!B:B,SERVICIOS!A:A,"")</f>
        <v>S03</v>
      </c>
      <c r="B101" s="68" t="s">
        <v>142</v>
      </c>
      <c r="C101" s="69">
        <v>45997.0</v>
      </c>
      <c r="D101" s="70" t="s">
        <v>69</v>
      </c>
      <c r="E101" s="71">
        <f t="array" ref="E101">XLOOKUP($D:$D,LISTA_SERVICIOS,LISTA_PRECIOS,0)</f>
        <v>6000</v>
      </c>
      <c r="F101" s="72">
        <v>0.0</v>
      </c>
      <c r="G101" s="73">
        <v>1000.0</v>
      </c>
      <c r="H101" s="74">
        <v>3000.0</v>
      </c>
      <c r="I101" s="70" t="s">
        <v>46</v>
      </c>
      <c r="J101" s="74">
        <f t="shared" si="1"/>
        <v>2000</v>
      </c>
      <c r="K101" s="70" t="s">
        <v>46</v>
      </c>
      <c r="L101" s="71">
        <f t="shared" si="2"/>
        <v>5000</v>
      </c>
      <c r="M101" s="76" t="str">
        <f t="shared" si="3"/>
        <v>diciembre</v>
      </c>
      <c r="N101" s="76">
        <f t="shared" si="4"/>
        <v>2025</v>
      </c>
    </row>
    <row r="102" ht="22.5" customHeight="1">
      <c r="A102" s="67" t="str">
        <f t="array" ref="A102">XLOOKUP(B102,SERVICIOS!B:B,SERVICIOS!A:A,"")</f>
        <v>S03</v>
      </c>
      <c r="B102" s="68" t="s">
        <v>142</v>
      </c>
      <c r="C102" s="69">
        <v>45997.0</v>
      </c>
      <c r="D102" s="70" t="s">
        <v>59</v>
      </c>
      <c r="E102" s="71">
        <f t="array" ref="E102">XLOOKUP($D:$D,LISTA_SERVICIOS,LISTA_PRECIOS,0)</f>
        <v>4700</v>
      </c>
      <c r="F102" s="72">
        <v>1400.0</v>
      </c>
      <c r="G102" s="73">
        <v>0.0</v>
      </c>
      <c r="H102" s="74">
        <v>1000.0</v>
      </c>
      <c r="I102" s="70" t="s">
        <v>56</v>
      </c>
      <c r="J102" s="74">
        <f t="shared" si="1"/>
        <v>5100</v>
      </c>
      <c r="K102" s="70" t="s">
        <v>56</v>
      </c>
      <c r="L102" s="71">
        <f t="shared" si="2"/>
        <v>6100</v>
      </c>
      <c r="M102" s="76" t="str">
        <f t="shared" si="3"/>
        <v>diciembre</v>
      </c>
      <c r="N102" s="76">
        <f t="shared" si="4"/>
        <v>2025</v>
      </c>
    </row>
    <row r="103" ht="22.5" customHeight="1">
      <c r="A103" s="67" t="str">
        <f t="array" ref="A103">XLOOKUP(B103,SERVICIOS!B:B,SERVICIOS!A:A,"")</f>
        <v>S01</v>
      </c>
      <c r="B103" s="68" t="s">
        <v>140</v>
      </c>
      <c r="C103" s="69">
        <v>45997.0</v>
      </c>
      <c r="D103" s="70" t="s">
        <v>146</v>
      </c>
      <c r="E103" s="71">
        <f t="array" ref="E103">XLOOKUP($D:$D,LISTA_SERVICIOS,LISTA_PRECIOS,0)</f>
        <v>3000</v>
      </c>
      <c r="F103" s="72">
        <v>0.0</v>
      </c>
      <c r="G103" s="73">
        <v>0.0</v>
      </c>
      <c r="H103" s="74">
        <v>1500.0</v>
      </c>
      <c r="I103" s="70" t="s">
        <v>46</v>
      </c>
      <c r="J103" s="74">
        <f t="shared" si="1"/>
        <v>1500</v>
      </c>
      <c r="K103" s="70" t="s">
        <v>46</v>
      </c>
      <c r="L103" s="71">
        <f t="shared" si="2"/>
        <v>3000</v>
      </c>
      <c r="M103" s="76" t="str">
        <f t="shared" si="3"/>
        <v>diciembre</v>
      </c>
      <c r="N103" s="76">
        <f t="shared" si="4"/>
        <v>2025</v>
      </c>
    </row>
    <row r="104" ht="22.5" customHeight="1">
      <c r="A104" s="67" t="str">
        <f t="array" ref="A104">XLOOKUP(B104,SERVICIOS!B:B,SERVICIOS!A:A,"")</f>
        <v>S01</v>
      </c>
      <c r="B104" s="68" t="s">
        <v>140</v>
      </c>
      <c r="C104" s="69">
        <v>45997.0</v>
      </c>
      <c r="D104" s="70" t="s">
        <v>141</v>
      </c>
      <c r="E104" s="71">
        <f t="array" ref="E104">XLOOKUP($D:$D,LISTA_SERVICIOS,LISTA_PRECIOS,0)</f>
        <v>2200</v>
      </c>
      <c r="F104" s="72">
        <v>0.0</v>
      </c>
      <c r="G104" s="73">
        <v>200.0</v>
      </c>
      <c r="H104" s="74">
        <v>600.0</v>
      </c>
      <c r="I104" s="70" t="s">
        <v>46</v>
      </c>
      <c r="J104" s="74">
        <f t="shared" si="1"/>
        <v>1400</v>
      </c>
      <c r="K104" s="70" t="s">
        <v>46</v>
      </c>
      <c r="L104" s="71">
        <f t="shared" si="2"/>
        <v>2000</v>
      </c>
      <c r="M104" s="76" t="str">
        <f t="shared" si="3"/>
        <v>diciembre</v>
      </c>
      <c r="N104" s="76">
        <f t="shared" si="4"/>
        <v>2025</v>
      </c>
    </row>
    <row r="105" ht="22.5" customHeight="1">
      <c r="A105" s="67" t="str">
        <f t="array" ref="A105">XLOOKUP(B105,SERVICIOS!B:B,SERVICIOS!A:A,"")</f>
        <v>S01</v>
      </c>
      <c r="B105" s="68" t="s">
        <v>140</v>
      </c>
      <c r="C105" s="69">
        <v>45997.0</v>
      </c>
      <c r="D105" s="70" t="s">
        <v>146</v>
      </c>
      <c r="E105" s="71">
        <f t="array" ref="E105">XLOOKUP($D:$D,LISTA_SERVICIOS,LISTA_PRECIOS,0)</f>
        <v>3000</v>
      </c>
      <c r="F105" s="72">
        <v>1500.0</v>
      </c>
      <c r="G105" s="73">
        <v>0.0</v>
      </c>
      <c r="H105" s="74">
        <v>1000.0</v>
      </c>
      <c r="I105" s="70" t="s">
        <v>46</v>
      </c>
      <c r="J105" s="74">
        <f t="shared" si="1"/>
        <v>3500</v>
      </c>
      <c r="K105" s="70" t="s">
        <v>46</v>
      </c>
      <c r="L105" s="71">
        <f t="shared" si="2"/>
        <v>4500</v>
      </c>
      <c r="M105" s="76" t="str">
        <f t="shared" si="3"/>
        <v>diciembre</v>
      </c>
      <c r="N105" s="76">
        <f t="shared" si="4"/>
        <v>2025</v>
      </c>
    </row>
    <row r="106" ht="22.5" customHeight="1">
      <c r="A106" s="67" t="str">
        <f t="array" ref="A106">XLOOKUP(B106,SERVICIOS!B:B,SERVICIOS!A:A,"")</f>
        <v>S02</v>
      </c>
      <c r="B106" s="68" t="s">
        <v>143</v>
      </c>
      <c r="C106" s="69">
        <v>45998.0</v>
      </c>
      <c r="D106" s="70" t="s">
        <v>63</v>
      </c>
      <c r="E106" s="71">
        <f t="array" ref="E106">XLOOKUP($D:$D,LISTA_SERVICIOS,LISTA_PRECIOS,0)</f>
        <v>800</v>
      </c>
      <c r="F106" s="72">
        <v>0.0</v>
      </c>
      <c r="G106" s="73">
        <v>0.0</v>
      </c>
      <c r="H106" s="74">
        <v>300.0</v>
      </c>
      <c r="I106" s="70" t="s">
        <v>46</v>
      </c>
      <c r="J106" s="74">
        <f t="shared" si="1"/>
        <v>500</v>
      </c>
      <c r="K106" s="70" t="s">
        <v>46</v>
      </c>
      <c r="L106" s="71">
        <f t="shared" si="2"/>
        <v>800</v>
      </c>
      <c r="M106" s="76" t="str">
        <f t="shared" si="3"/>
        <v>diciembre</v>
      </c>
      <c r="N106" s="76">
        <f t="shared" si="4"/>
        <v>2025</v>
      </c>
    </row>
    <row r="107" ht="22.5" customHeight="1">
      <c r="A107" s="67" t="str">
        <f t="array" ref="A107">XLOOKUP(B107,SERVICIOS!B:B,SERVICIOS!A:A,"")</f>
        <v>S02</v>
      </c>
      <c r="B107" s="68" t="s">
        <v>143</v>
      </c>
      <c r="C107" s="69">
        <v>45998.0</v>
      </c>
      <c r="D107" s="70" t="s">
        <v>43</v>
      </c>
      <c r="E107" s="71">
        <f t="array" ref="E107">XLOOKUP($D:$D,LISTA_SERVICIOS,LISTA_PRECIOS,0)</f>
        <v>600</v>
      </c>
      <c r="F107" s="72">
        <v>0.0</v>
      </c>
      <c r="G107" s="73">
        <v>0.0</v>
      </c>
      <c r="H107" s="74">
        <v>200.0</v>
      </c>
      <c r="I107" s="70" t="s">
        <v>46</v>
      </c>
      <c r="J107" s="74">
        <f t="shared" si="1"/>
        <v>400</v>
      </c>
      <c r="K107" s="70" t="s">
        <v>46</v>
      </c>
      <c r="L107" s="71">
        <f t="shared" si="2"/>
        <v>600</v>
      </c>
      <c r="M107" s="76" t="str">
        <f t="shared" si="3"/>
        <v>diciembre</v>
      </c>
      <c r="N107" s="76">
        <f t="shared" si="4"/>
        <v>2025</v>
      </c>
    </row>
    <row r="108" ht="22.5" customHeight="1">
      <c r="A108" s="67" t="str">
        <f t="array" ref="A108">XLOOKUP(B108,SERVICIOS!B:B,SERVICIOS!A:A,"")</f>
        <v>S01</v>
      </c>
      <c r="B108" s="68" t="s">
        <v>140</v>
      </c>
      <c r="C108" s="69">
        <v>45999.0</v>
      </c>
      <c r="D108" s="70" t="s">
        <v>141</v>
      </c>
      <c r="E108" s="71">
        <f t="array" ref="E108">XLOOKUP($D:$D,LISTA_SERVICIOS,LISTA_PRECIOS,0)</f>
        <v>2200</v>
      </c>
      <c r="F108" s="72">
        <v>0.0</v>
      </c>
      <c r="G108" s="73">
        <v>0.0</v>
      </c>
      <c r="H108" s="74">
        <v>0.0</v>
      </c>
      <c r="I108" s="75"/>
      <c r="J108" s="74">
        <f t="shared" si="1"/>
        <v>2200</v>
      </c>
      <c r="K108" s="70" t="s">
        <v>46</v>
      </c>
      <c r="L108" s="71">
        <f t="shared" si="2"/>
        <v>2200</v>
      </c>
      <c r="M108" s="76" t="str">
        <f t="shared" si="3"/>
        <v>diciembre</v>
      </c>
      <c r="N108" s="76">
        <f t="shared" si="4"/>
        <v>2025</v>
      </c>
    </row>
    <row r="109" ht="22.5" customHeight="1">
      <c r="A109" s="67" t="str">
        <f t="array" ref="A109">XLOOKUP(B109,SERVICIOS!B:B,SERVICIOS!A:A,"")</f>
        <v>S01</v>
      </c>
      <c r="B109" s="68" t="s">
        <v>140</v>
      </c>
      <c r="C109" s="69">
        <v>45999.0</v>
      </c>
      <c r="D109" s="70" t="s">
        <v>141</v>
      </c>
      <c r="E109" s="71">
        <f t="array" ref="E109">XLOOKUP($D:$D,LISTA_SERVICIOS,LISTA_PRECIOS,0)</f>
        <v>2200</v>
      </c>
      <c r="F109" s="72">
        <v>0.0</v>
      </c>
      <c r="G109" s="73">
        <v>200.0</v>
      </c>
      <c r="H109" s="74">
        <v>0.0</v>
      </c>
      <c r="I109" s="75"/>
      <c r="J109" s="74">
        <f t="shared" si="1"/>
        <v>2000</v>
      </c>
      <c r="K109" s="70" t="s">
        <v>46</v>
      </c>
      <c r="L109" s="71">
        <f t="shared" si="2"/>
        <v>2000</v>
      </c>
      <c r="M109" s="76" t="str">
        <f t="shared" si="3"/>
        <v>diciembre</v>
      </c>
      <c r="N109" s="76">
        <f t="shared" si="4"/>
        <v>2025</v>
      </c>
    </row>
    <row r="110" ht="22.5" customHeight="1">
      <c r="A110" s="67" t="str">
        <f t="array" ref="A110">XLOOKUP(B110,SERVICIOS!B:B,SERVICIOS!A:A,"")</f>
        <v>S02</v>
      </c>
      <c r="B110" s="68" t="s">
        <v>143</v>
      </c>
      <c r="C110" s="69">
        <v>46000.0</v>
      </c>
      <c r="D110" s="70" t="s">
        <v>43</v>
      </c>
      <c r="E110" s="71">
        <f t="array" ref="E110">XLOOKUP($D:$D,LISTA_SERVICIOS,LISTA_PRECIOS,0)</f>
        <v>600</v>
      </c>
      <c r="F110" s="72">
        <v>200.0</v>
      </c>
      <c r="G110" s="73">
        <v>0.0</v>
      </c>
      <c r="H110" s="74">
        <v>0.0</v>
      </c>
      <c r="I110" s="75"/>
      <c r="J110" s="74">
        <f t="shared" si="1"/>
        <v>800</v>
      </c>
      <c r="K110" s="70" t="s">
        <v>46</v>
      </c>
      <c r="L110" s="71">
        <f t="shared" si="2"/>
        <v>800</v>
      </c>
      <c r="M110" s="76" t="str">
        <f t="shared" si="3"/>
        <v>diciembre</v>
      </c>
      <c r="N110" s="76">
        <f t="shared" si="4"/>
        <v>2025</v>
      </c>
    </row>
    <row r="111" ht="22.5" customHeight="1">
      <c r="A111" s="67" t="str">
        <f t="array" ref="A111">XLOOKUP(B111,SERVICIOS!B:B,SERVICIOS!A:A,"")</f>
        <v>S01</v>
      </c>
      <c r="B111" s="68" t="s">
        <v>140</v>
      </c>
      <c r="C111" s="69">
        <v>46001.0</v>
      </c>
      <c r="D111" s="70" t="s">
        <v>141</v>
      </c>
      <c r="E111" s="71">
        <f t="array" ref="E111">XLOOKUP($D:$D,LISTA_SERVICIOS,LISTA_PRECIOS,0)</f>
        <v>2200</v>
      </c>
      <c r="F111" s="72">
        <v>0.0</v>
      </c>
      <c r="G111" s="73">
        <v>0.0</v>
      </c>
      <c r="H111" s="74">
        <v>660.0</v>
      </c>
      <c r="I111" s="70" t="s">
        <v>46</v>
      </c>
      <c r="J111" s="74">
        <f t="shared" si="1"/>
        <v>1540</v>
      </c>
      <c r="K111" s="70" t="s">
        <v>51</v>
      </c>
      <c r="L111" s="71">
        <f t="shared" si="2"/>
        <v>2200</v>
      </c>
      <c r="M111" s="76" t="str">
        <f t="shared" si="3"/>
        <v>diciembre</v>
      </c>
      <c r="N111" s="76">
        <f t="shared" si="4"/>
        <v>2025</v>
      </c>
    </row>
    <row r="112" ht="22.5" customHeight="1">
      <c r="A112" s="67" t="str">
        <f t="array" ref="A112">XLOOKUP(B112,SERVICIOS!B:B,SERVICIOS!A:A,"")</f>
        <v>S01</v>
      </c>
      <c r="B112" s="68" t="s">
        <v>140</v>
      </c>
      <c r="C112" s="69">
        <v>46001.0</v>
      </c>
      <c r="D112" s="70" t="s">
        <v>146</v>
      </c>
      <c r="E112" s="71">
        <f t="array" ref="E112">XLOOKUP($D:$D,LISTA_SERVICIOS,LISTA_PRECIOS,0)</f>
        <v>3000</v>
      </c>
      <c r="F112" s="72">
        <v>0.0</v>
      </c>
      <c r="G112" s="73">
        <v>200.0</v>
      </c>
      <c r="H112" s="74">
        <v>0.0</v>
      </c>
      <c r="I112" s="75"/>
      <c r="J112" s="74">
        <f t="shared" si="1"/>
        <v>2800</v>
      </c>
      <c r="K112" s="70" t="s">
        <v>46</v>
      </c>
      <c r="L112" s="71">
        <f t="shared" si="2"/>
        <v>2800</v>
      </c>
      <c r="M112" s="76" t="str">
        <f t="shared" si="3"/>
        <v>diciembre</v>
      </c>
      <c r="N112" s="76">
        <f t="shared" si="4"/>
        <v>2025</v>
      </c>
    </row>
    <row r="113" ht="22.5" customHeight="1">
      <c r="A113" s="67" t="str">
        <f t="array" ref="A113">XLOOKUP(B113,SERVICIOS!B:B,SERVICIOS!A:A,"")</f>
        <v>S01</v>
      </c>
      <c r="B113" s="68" t="s">
        <v>140</v>
      </c>
      <c r="C113" s="69">
        <v>46002.0</v>
      </c>
      <c r="D113" s="70" t="s">
        <v>145</v>
      </c>
      <c r="E113" s="71">
        <f t="array" ref="E113">XLOOKUP($D:$D,LISTA_SERVICIOS,LISTA_PRECIOS,0)</f>
        <v>2600</v>
      </c>
      <c r="F113" s="72">
        <v>0.0</v>
      </c>
      <c r="G113" s="73">
        <v>200.0</v>
      </c>
      <c r="H113" s="74">
        <v>0.0</v>
      </c>
      <c r="I113" s="75"/>
      <c r="J113" s="74">
        <f t="shared" si="1"/>
        <v>2400</v>
      </c>
      <c r="K113" s="70" t="s">
        <v>51</v>
      </c>
      <c r="L113" s="71">
        <f t="shared" si="2"/>
        <v>2400</v>
      </c>
      <c r="M113" s="76" t="str">
        <f t="shared" si="3"/>
        <v>diciembre</v>
      </c>
      <c r="N113" s="76">
        <f t="shared" si="4"/>
        <v>2025</v>
      </c>
    </row>
    <row r="114" ht="22.5" customHeight="1">
      <c r="A114" s="67" t="str">
        <f t="array" ref="A114">XLOOKUP(B114,SERVICIOS!B:B,SERVICIOS!A:A,"")</f>
        <v>S02</v>
      </c>
      <c r="B114" s="68" t="s">
        <v>143</v>
      </c>
      <c r="C114" s="69">
        <v>46003.0</v>
      </c>
      <c r="D114" s="70" t="s">
        <v>78</v>
      </c>
      <c r="E114" s="71">
        <f t="array" ref="E114">XLOOKUP($D:$D,LISTA_SERVICIOS,LISTA_PRECIOS,0)</f>
        <v>1000</v>
      </c>
      <c r="F114" s="72">
        <v>0.0</v>
      </c>
      <c r="G114" s="73">
        <v>0.0</v>
      </c>
      <c r="H114" s="74">
        <v>0.0</v>
      </c>
      <c r="I114" s="75"/>
      <c r="J114" s="74">
        <f t="shared" si="1"/>
        <v>1000</v>
      </c>
      <c r="K114" s="70" t="s">
        <v>51</v>
      </c>
      <c r="L114" s="71">
        <f t="shared" si="2"/>
        <v>1000</v>
      </c>
      <c r="M114" s="76" t="str">
        <f t="shared" si="3"/>
        <v>diciembre</v>
      </c>
      <c r="N114" s="76">
        <f t="shared" si="4"/>
        <v>2025</v>
      </c>
    </row>
    <row r="115" ht="22.5" customHeight="1">
      <c r="A115" s="67" t="str">
        <f t="array" ref="A115">XLOOKUP(B115,SERVICIOS!B:B,SERVICIOS!A:A,"")</f>
        <v>S02</v>
      </c>
      <c r="B115" s="68" t="s">
        <v>143</v>
      </c>
      <c r="C115" s="69">
        <v>46003.0</v>
      </c>
      <c r="D115" s="70" t="s">
        <v>58</v>
      </c>
      <c r="E115" s="71">
        <f t="array" ref="E115">XLOOKUP($D:$D,LISTA_SERVICIOS,LISTA_PRECIOS,0)</f>
        <v>650</v>
      </c>
      <c r="F115" s="72">
        <v>0.0</v>
      </c>
      <c r="G115" s="73">
        <v>0.0</v>
      </c>
      <c r="H115" s="74">
        <v>0.0</v>
      </c>
      <c r="I115" s="75"/>
      <c r="J115" s="74">
        <f t="shared" si="1"/>
        <v>650</v>
      </c>
      <c r="K115" s="70" t="s">
        <v>46</v>
      </c>
      <c r="L115" s="71">
        <f t="shared" si="2"/>
        <v>650</v>
      </c>
      <c r="M115" s="76" t="str">
        <f t="shared" si="3"/>
        <v>diciembre</v>
      </c>
      <c r="N115" s="76">
        <f t="shared" si="4"/>
        <v>2025</v>
      </c>
    </row>
    <row r="116" ht="22.5" customHeight="1">
      <c r="A116" s="67" t="str">
        <f t="array" ref="A116">XLOOKUP(B116,SERVICIOS!B:B,SERVICIOS!A:A,"")</f>
        <v>S03</v>
      </c>
      <c r="B116" s="68" t="s">
        <v>142</v>
      </c>
      <c r="C116" s="69">
        <v>46003.0</v>
      </c>
      <c r="D116" s="70" t="s">
        <v>54</v>
      </c>
      <c r="E116" s="71">
        <f t="array" ref="E116">XLOOKUP($D:$D,LISTA_SERVICIOS,LISTA_PRECIOS,0)</f>
        <v>4000</v>
      </c>
      <c r="F116" s="72">
        <v>1800.0</v>
      </c>
      <c r="G116" s="73">
        <v>0.0</v>
      </c>
      <c r="H116" s="74">
        <v>0.0</v>
      </c>
      <c r="I116" s="75"/>
      <c r="J116" s="74">
        <f t="shared" si="1"/>
        <v>5800</v>
      </c>
      <c r="K116" s="70" t="s">
        <v>56</v>
      </c>
      <c r="L116" s="71">
        <f t="shared" si="2"/>
        <v>5800</v>
      </c>
      <c r="M116" s="76" t="str">
        <f t="shared" si="3"/>
        <v>diciembre</v>
      </c>
      <c r="N116" s="76">
        <f t="shared" si="4"/>
        <v>2025</v>
      </c>
    </row>
    <row r="117" ht="22.5" customHeight="1">
      <c r="A117" s="67" t="str">
        <f t="array" ref="A117">XLOOKUP(B117,SERVICIOS!B:B,SERVICIOS!A:A,"")</f>
        <v>S01</v>
      </c>
      <c r="B117" s="68" t="s">
        <v>140</v>
      </c>
      <c r="C117" s="69">
        <v>46003.0</v>
      </c>
      <c r="D117" s="70" t="s">
        <v>146</v>
      </c>
      <c r="E117" s="71">
        <f t="array" ref="E117">XLOOKUP($D:$D,LISTA_SERVICIOS,LISTA_PRECIOS,0)</f>
        <v>3000</v>
      </c>
      <c r="F117" s="72">
        <v>1872.0</v>
      </c>
      <c r="G117" s="73">
        <v>0.0</v>
      </c>
      <c r="H117" s="74">
        <v>0.0</v>
      </c>
      <c r="I117" s="75"/>
      <c r="J117" s="74">
        <f t="shared" si="1"/>
        <v>4872</v>
      </c>
      <c r="K117" s="70" t="s">
        <v>46</v>
      </c>
      <c r="L117" s="71">
        <f t="shared" si="2"/>
        <v>4872</v>
      </c>
      <c r="M117" s="76" t="str">
        <f t="shared" si="3"/>
        <v>diciembre</v>
      </c>
      <c r="N117" s="76">
        <f t="shared" si="4"/>
        <v>2025</v>
      </c>
    </row>
    <row r="118" ht="22.5" customHeight="1">
      <c r="A118" s="67" t="str">
        <f t="array" ref="A118">XLOOKUP(B118,SERVICIOS!B:B,SERVICIOS!A:A,"")</f>
        <v>S02</v>
      </c>
      <c r="B118" s="68" t="s">
        <v>143</v>
      </c>
      <c r="C118" s="69">
        <v>46004.0</v>
      </c>
      <c r="D118" s="70" t="s">
        <v>75</v>
      </c>
      <c r="E118" s="71">
        <f t="array" ref="E118">XLOOKUP($D:$D,LISTA_SERVICIOS,LISTA_PRECIOS,0)</f>
        <v>800</v>
      </c>
      <c r="F118" s="72">
        <v>0.0</v>
      </c>
      <c r="G118" s="73">
        <v>150.0</v>
      </c>
      <c r="H118" s="74">
        <v>0.0</v>
      </c>
      <c r="I118" s="75"/>
      <c r="J118" s="74">
        <f t="shared" si="1"/>
        <v>650</v>
      </c>
      <c r="K118" s="70" t="s">
        <v>51</v>
      </c>
      <c r="L118" s="71">
        <f t="shared" si="2"/>
        <v>650</v>
      </c>
      <c r="M118" s="76" t="str">
        <f t="shared" si="3"/>
        <v>diciembre</v>
      </c>
      <c r="N118" s="76">
        <f t="shared" si="4"/>
        <v>2025</v>
      </c>
    </row>
    <row r="119" ht="22.5" customHeight="1">
      <c r="A119" s="67" t="str">
        <f t="array" ref="A119">XLOOKUP(B119,SERVICIOS!B:B,SERVICIOS!A:A,"")</f>
        <v>S02</v>
      </c>
      <c r="B119" s="68" t="s">
        <v>143</v>
      </c>
      <c r="C119" s="69">
        <v>46004.0</v>
      </c>
      <c r="D119" s="70" t="s">
        <v>58</v>
      </c>
      <c r="E119" s="71">
        <f t="array" ref="E119">XLOOKUP($D:$D,LISTA_SERVICIOS,LISTA_PRECIOS,0)</f>
        <v>650</v>
      </c>
      <c r="F119" s="72">
        <v>0.0</v>
      </c>
      <c r="G119" s="73">
        <v>0.0</v>
      </c>
      <c r="H119" s="74">
        <v>0.0</v>
      </c>
      <c r="I119" s="75"/>
      <c r="J119" s="74">
        <f t="shared" si="1"/>
        <v>650</v>
      </c>
      <c r="K119" s="70" t="s">
        <v>51</v>
      </c>
      <c r="L119" s="71">
        <f t="shared" si="2"/>
        <v>650</v>
      </c>
      <c r="M119" s="76" t="str">
        <f t="shared" si="3"/>
        <v>diciembre</v>
      </c>
      <c r="N119" s="76">
        <f t="shared" si="4"/>
        <v>2025</v>
      </c>
    </row>
    <row r="120" ht="22.5" customHeight="1">
      <c r="A120" s="67" t="str">
        <f t="array" ref="A120">XLOOKUP(B120,SERVICIOS!B:B,SERVICIOS!A:A,"")</f>
        <v>S02</v>
      </c>
      <c r="B120" s="68" t="s">
        <v>143</v>
      </c>
      <c r="C120" s="69">
        <v>46004.0</v>
      </c>
      <c r="D120" s="70" t="s">
        <v>38</v>
      </c>
      <c r="E120" s="71">
        <f t="array" ref="E120">XLOOKUP($D:$D,LISTA_SERVICIOS,LISTA_PRECIOS,0)</f>
        <v>600</v>
      </c>
      <c r="F120" s="72">
        <v>0.0</v>
      </c>
      <c r="G120" s="73">
        <v>0.0</v>
      </c>
      <c r="H120" s="74">
        <v>0.0</v>
      </c>
      <c r="I120" s="75"/>
      <c r="J120" s="74">
        <f t="shared" si="1"/>
        <v>600</v>
      </c>
      <c r="K120" s="70" t="s">
        <v>46</v>
      </c>
      <c r="L120" s="71">
        <f t="shared" si="2"/>
        <v>600</v>
      </c>
      <c r="M120" s="76" t="str">
        <f t="shared" si="3"/>
        <v>diciembre</v>
      </c>
      <c r="N120" s="76">
        <f t="shared" si="4"/>
        <v>2025</v>
      </c>
    </row>
    <row r="121" ht="22.5" customHeight="1">
      <c r="A121" s="67" t="str">
        <f t="array" ref="A121">XLOOKUP(B121,SERVICIOS!B:B,SERVICIOS!A:A,"")</f>
        <v>S02</v>
      </c>
      <c r="B121" s="68" t="s">
        <v>143</v>
      </c>
      <c r="C121" s="69">
        <v>46004.0</v>
      </c>
      <c r="D121" s="70" t="s">
        <v>63</v>
      </c>
      <c r="E121" s="71">
        <f t="array" ref="E121">XLOOKUP($D:$D,LISTA_SERVICIOS,LISTA_PRECIOS,0)</f>
        <v>800</v>
      </c>
      <c r="F121" s="72">
        <v>0.0</v>
      </c>
      <c r="G121" s="73">
        <v>0.0</v>
      </c>
      <c r="H121" s="74">
        <v>0.0</v>
      </c>
      <c r="I121" s="75"/>
      <c r="J121" s="74">
        <f t="shared" si="1"/>
        <v>800</v>
      </c>
      <c r="K121" s="70" t="s">
        <v>51</v>
      </c>
      <c r="L121" s="71">
        <f t="shared" si="2"/>
        <v>800</v>
      </c>
      <c r="M121" s="76" t="str">
        <f t="shared" si="3"/>
        <v>diciembre</v>
      </c>
      <c r="N121" s="76">
        <f t="shared" si="4"/>
        <v>2025</v>
      </c>
    </row>
    <row r="122" ht="22.5" customHeight="1">
      <c r="A122" s="67" t="str">
        <f t="array" ref="A122">XLOOKUP(B122,SERVICIOS!B:B,SERVICIOS!A:A,"")</f>
        <v>S02</v>
      </c>
      <c r="B122" s="68" t="s">
        <v>143</v>
      </c>
      <c r="C122" s="69">
        <v>46004.0</v>
      </c>
      <c r="D122" s="70" t="s">
        <v>48</v>
      </c>
      <c r="E122" s="71">
        <f t="array" ref="E122">XLOOKUP($D:$D,LISTA_SERVICIOS,LISTA_PRECIOS,0)</f>
        <v>650</v>
      </c>
      <c r="F122" s="72">
        <v>0.0</v>
      </c>
      <c r="G122" s="73">
        <v>0.0</v>
      </c>
      <c r="H122" s="74">
        <v>0.0</v>
      </c>
      <c r="I122" s="75"/>
      <c r="J122" s="74">
        <f t="shared" si="1"/>
        <v>650</v>
      </c>
      <c r="K122" s="70" t="s">
        <v>56</v>
      </c>
      <c r="L122" s="71">
        <f t="shared" si="2"/>
        <v>650</v>
      </c>
      <c r="M122" s="76" t="str">
        <f t="shared" si="3"/>
        <v>diciembre</v>
      </c>
      <c r="N122" s="76">
        <f t="shared" si="4"/>
        <v>2025</v>
      </c>
    </row>
    <row r="123" ht="22.5" customHeight="1">
      <c r="A123" s="67" t="str">
        <f t="array" ref="A123">XLOOKUP(B123,SERVICIOS!B:B,SERVICIOS!A:A,"")</f>
        <v>S02</v>
      </c>
      <c r="B123" s="68" t="s">
        <v>143</v>
      </c>
      <c r="C123" s="69">
        <v>46004.0</v>
      </c>
      <c r="D123" s="70" t="s">
        <v>43</v>
      </c>
      <c r="E123" s="71">
        <f t="array" ref="E123">XLOOKUP($D:$D,LISTA_SERVICIOS,LISTA_PRECIOS,0)</f>
        <v>600</v>
      </c>
      <c r="F123" s="72">
        <v>100.0</v>
      </c>
      <c r="G123" s="73">
        <v>0.0</v>
      </c>
      <c r="H123" s="74">
        <v>0.0</v>
      </c>
      <c r="I123" s="75"/>
      <c r="J123" s="74">
        <f t="shared" si="1"/>
        <v>700</v>
      </c>
      <c r="K123" s="70" t="s">
        <v>56</v>
      </c>
      <c r="L123" s="71">
        <f t="shared" si="2"/>
        <v>700</v>
      </c>
      <c r="M123" s="76" t="str">
        <f t="shared" si="3"/>
        <v>diciembre</v>
      </c>
      <c r="N123" s="76">
        <f t="shared" si="4"/>
        <v>2025</v>
      </c>
    </row>
    <row r="124" ht="22.5" customHeight="1">
      <c r="A124" s="67" t="str">
        <f t="array" ref="A124">XLOOKUP(B124,SERVICIOS!B:B,SERVICIOS!A:A,"")</f>
        <v>S04</v>
      </c>
      <c r="B124" s="68" t="s">
        <v>148</v>
      </c>
      <c r="C124" s="69">
        <v>46004.0</v>
      </c>
      <c r="D124" s="70" t="s">
        <v>149</v>
      </c>
      <c r="E124" s="71">
        <f t="array" ref="E124">XLOOKUP($D:$D,LISTA_SERVICIOS,LISTA_PRECIOS,0)</f>
        <v>5000</v>
      </c>
      <c r="F124" s="72">
        <v>1500.0</v>
      </c>
      <c r="G124" s="73">
        <v>0.0</v>
      </c>
      <c r="H124" s="74">
        <v>2500.0</v>
      </c>
      <c r="I124" s="70" t="s">
        <v>56</v>
      </c>
      <c r="J124" s="74">
        <f t="shared" si="1"/>
        <v>4000</v>
      </c>
      <c r="K124" s="70" t="s">
        <v>51</v>
      </c>
      <c r="L124" s="71">
        <f t="shared" si="2"/>
        <v>6500</v>
      </c>
      <c r="M124" s="76" t="str">
        <f t="shared" si="3"/>
        <v>diciembre</v>
      </c>
      <c r="N124" s="76">
        <f t="shared" si="4"/>
        <v>2025</v>
      </c>
    </row>
    <row r="125" ht="22.5" customHeight="1">
      <c r="A125" s="67" t="str">
        <f t="array" ref="A125">XLOOKUP(B125,SERVICIOS!B:B,SERVICIOS!A:A,"")</f>
        <v>S03</v>
      </c>
      <c r="B125" s="68" t="s">
        <v>142</v>
      </c>
      <c r="C125" s="69">
        <v>46004.0</v>
      </c>
      <c r="D125" s="70" t="s">
        <v>54</v>
      </c>
      <c r="E125" s="71">
        <f t="array" ref="E125">XLOOKUP($D:$D,LISTA_SERVICIOS,LISTA_PRECIOS,0)</f>
        <v>4000</v>
      </c>
      <c r="F125" s="72">
        <v>700.0</v>
      </c>
      <c r="G125" s="73">
        <v>0.0</v>
      </c>
      <c r="H125" s="74">
        <v>2000.0</v>
      </c>
      <c r="I125" s="70" t="s">
        <v>56</v>
      </c>
      <c r="J125" s="74">
        <f t="shared" si="1"/>
        <v>2700</v>
      </c>
      <c r="K125" s="70" t="s">
        <v>56</v>
      </c>
      <c r="L125" s="71">
        <f t="shared" si="2"/>
        <v>4700</v>
      </c>
      <c r="M125" s="76" t="str">
        <f t="shared" si="3"/>
        <v>diciembre</v>
      </c>
      <c r="N125" s="76">
        <f t="shared" si="4"/>
        <v>2025</v>
      </c>
    </row>
    <row r="126" ht="22.5" customHeight="1">
      <c r="A126" s="67" t="str">
        <f t="array" ref="A126">XLOOKUP(B126,SERVICIOS!B:B,SERVICIOS!A:A,"")</f>
        <v>S03</v>
      </c>
      <c r="B126" s="68" t="s">
        <v>142</v>
      </c>
      <c r="C126" s="69">
        <v>46004.0</v>
      </c>
      <c r="D126" s="70" t="s">
        <v>39</v>
      </c>
      <c r="E126" s="71">
        <f t="array" ref="E126">XLOOKUP($D:$D,LISTA_SERVICIOS,LISTA_PRECIOS,0)</f>
        <v>2800</v>
      </c>
      <c r="F126" s="72">
        <v>0.0</v>
      </c>
      <c r="G126" s="73">
        <v>1800.0</v>
      </c>
      <c r="H126" s="74">
        <v>0.0</v>
      </c>
      <c r="I126" s="75"/>
      <c r="J126" s="74">
        <f t="shared" si="1"/>
        <v>1000</v>
      </c>
      <c r="K126" s="70" t="s">
        <v>51</v>
      </c>
      <c r="L126" s="71">
        <f t="shared" si="2"/>
        <v>1000</v>
      </c>
      <c r="M126" s="76" t="str">
        <f t="shared" si="3"/>
        <v>diciembre</v>
      </c>
      <c r="N126" s="76">
        <f t="shared" si="4"/>
        <v>2025</v>
      </c>
    </row>
    <row r="127" ht="22.5" customHeight="1">
      <c r="A127" s="67" t="str">
        <f t="array" ref="A127">XLOOKUP(B127,SERVICIOS!B:B,SERVICIOS!A:A,"")</f>
        <v>S03</v>
      </c>
      <c r="B127" s="68" t="s">
        <v>142</v>
      </c>
      <c r="C127" s="69">
        <v>46004.0</v>
      </c>
      <c r="D127" s="70" t="s">
        <v>69</v>
      </c>
      <c r="E127" s="71">
        <f t="array" ref="E127">XLOOKUP($D:$D,LISTA_SERVICIOS,LISTA_PRECIOS,0)</f>
        <v>6000</v>
      </c>
      <c r="F127" s="72">
        <v>1000.0</v>
      </c>
      <c r="G127" s="73">
        <v>0.0</v>
      </c>
      <c r="H127" s="74">
        <v>2500.0</v>
      </c>
      <c r="I127" s="70" t="s">
        <v>56</v>
      </c>
      <c r="J127" s="74">
        <f t="shared" si="1"/>
        <v>4500</v>
      </c>
      <c r="K127" s="70" t="s">
        <v>51</v>
      </c>
      <c r="L127" s="71">
        <f t="shared" si="2"/>
        <v>7000</v>
      </c>
      <c r="M127" s="76" t="str">
        <f t="shared" si="3"/>
        <v>diciembre</v>
      </c>
      <c r="N127" s="76">
        <f t="shared" si="4"/>
        <v>2025</v>
      </c>
    </row>
    <row r="128" ht="22.5" customHeight="1">
      <c r="A128" s="67" t="str">
        <f t="array" ref="A128">XLOOKUP(B128,SERVICIOS!B:B,SERVICIOS!A:A,"")</f>
        <v>S01</v>
      </c>
      <c r="B128" s="68" t="s">
        <v>140</v>
      </c>
      <c r="C128" s="69">
        <v>46004.0</v>
      </c>
      <c r="D128" s="70" t="s">
        <v>145</v>
      </c>
      <c r="E128" s="71">
        <f t="array" ref="E128">XLOOKUP($D:$D,LISTA_SERVICIOS,LISTA_PRECIOS,0)</f>
        <v>2600</v>
      </c>
      <c r="F128" s="72">
        <v>0.0</v>
      </c>
      <c r="G128" s="73">
        <v>0.0</v>
      </c>
      <c r="H128" s="74">
        <v>1000.0</v>
      </c>
      <c r="I128" s="70" t="s">
        <v>46</v>
      </c>
      <c r="J128" s="74">
        <f t="shared" si="1"/>
        <v>1600</v>
      </c>
      <c r="K128" s="70" t="s">
        <v>51</v>
      </c>
      <c r="L128" s="71">
        <f t="shared" si="2"/>
        <v>2600</v>
      </c>
      <c r="M128" s="76" t="str">
        <f t="shared" si="3"/>
        <v>diciembre</v>
      </c>
      <c r="N128" s="76">
        <f t="shared" si="4"/>
        <v>2025</v>
      </c>
    </row>
    <row r="129" ht="22.5" customHeight="1">
      <c r="A129" s="67" t="str">
        <f t="array" ref="A129">XLOOKUP(B129,SERVICIOS!B:B,SERVICIOS!A:A,"")</f>
        <v>S02</v>
      </c>
      <c r="B129" s="68" t="s">
        <v>143</v>
      </c>
      <c r="C129" s="69">
        <v>46005.0</v>
      </c>
      <c r="D129" s="70" t="s">
        <v>48</v>
      </c>
      <c r="E129" s="71">
        <f t="array" ref="E129">XLOOKUP($D:$D,LISTA_SERVICIOS,LISTA_PRECIOS,0)</f>
        <v>650</v>
      </c>
      <c r="F129" s="72">
        <v>0.0</v>
      </c>
      <c r="G129" s="73">
        <v>0.0</v>
      </c>
      <c r="H129" s="74">
        <v>150.0</v>
      </c>
      <c r="I129" s="70" t="s">
        <v>46</v>
      </c>
      <c r="J129" s="74">
        <f t="shared" si="1"/>
        <v>500</v>
      </c>
      <c r="K129" s="77" t="s">
        <v>46</v>
      </c>
      <c r="L129" s="71">
        <f t="shared" si="2"/>
        <v>650</v>
      </c>
      <c r="M129" s="76" t="str">
        <f t="shared" si="3"/>
        <v>diciembre</v>
      </c>
      <c r="N129" s="76">
        <f t="shared" si="4"/>
        <v>2025</v>
      </c>
    </row>
    <row r="130" ht="22.5" customHeight="1">
      <c r="A130" s="67" t="str">
        <f t="array" ref="A130">XLOOKUP(B130,SERVICIOS!B:B,SERVICIOS!A:A,"")</f>
        <v>S02</v>
      </c>
      <c r="B130" s="68" t="s">
        <v>143</v>
      </c>
      <c r="C130" s="69">
        <v>46005.0</v>
      </c>
      <c r="D130" s="70" t="s">
        <v>53</v>
      </c>
      <c r="E130" s="71">
        <f t="array" ref="E130">XLOOKUP($D:$D,LISTA_SERVICIOS,LISTA_PRECIOS,0)</f>
        <v>650</v>
      </c>
      <c r="F130" s="72">
        <v>0.0</v>
      </c>
      <c r="G130" s="73">
        <v>0.0</v>
      </c>
      <c r="H130" s="74">
        <v>200.0</v>
      </c>
      <c r="I130" s="70" t="s">
        <v>46</v>
      </c>
      <c r="J130" s="74">
        <f t="shared" si="1"/>
        <v>450</v>
      </c>
      <c r="K130" s="77" t="s">
        <v>46</v>
      </c>
      <c r="L130" s="71">
        <f t="shared" si="2"/>
        <v>650</v>
      </c>
      <c r="M130" s="76" t="str">
        <f t="shared" si="3"/>
        <v>diciembre</v>
      </c>
      <c r="N130" s="76">
        <f t="shared" si="4"/>
        <v>2025</v>
      </c>
    </row>
    <row r="131" ht="22.5" customHeight="1">
      <c r="A131" s="67" t="str">
        <f t="array" ref="A131">XLOOKUP(B131,SERVICIOS!B:B,SERVICIOS!A:A,"")</f>
        <v>S03</v>
      </c>
      <c r="B131" s="68" t="s">
        <v>142</v>
      </c>
      <c r="C131" s="69">
        <v>46005.0</v>
      </c>
      <c r="D131" s="70" t="s">
        <v>44</v>
      </c>
      <c r="E131" s="71">
        <f t="array" ref="E131">XLOOKUP($D:$D,LISTA_SERVICIOS,LISTA_PRECIOS,0)</f>
        <v>3300</v>
      </c>
      <c r="F131" s="72">
        <v>300.0</v>
      </c>
      <c r="G131" s="73">
        <v>0.0</v>
      </c>
      <c r="H131" s="74">
        <v>1000.0</v>
      </c>
      <c r="I131" s="70" t="s">
        <v>56</v>
      </c>
      <c r="J131" s="74">
        <f t="shared" si="1"/>
        <v>2600</v>
      </c>
      <c r="K131" s="70" t="s">
        <v>51</v>
      </c>
      <c r="L131" s="71">
        <f t="shared" si="2"/>
        <v>3600</v>
      </c>
      <c r="M131" s="76" t="str">
        <f t="shared" si="3"/>
        <v>diciembre</v>
      </c>
      <c r="N131" s="76">
        <f t="shared" si="4"/>
        <v>2025</v>
      </c>
    </row>
    <row r="132" ht="22.5" customHeight="1">
      <c r="A132" s="67" t="str">
        <f t="array" ref="A132">XLOOKUP(B132,SERVICIOS!B:B,SERVICIOS!A:A,"")</f>
        <v>S01</v>
      </c>
      <c r="B132" s="68" t="s">
        <v>140</v>
      </c>
      <c r="C132" s="69">
        <v>46005.0</v>
      </c>
      <c r="D132" s="70" t="s">
        <v>145</v>
      </c>
      <c r="E132" s="71">
        <f t="array" ref="E132">XLOOKUP($D:$D,LISTA_SERVICIOS,LISTA_PRECIOS,0)</f>
        <v>2600</v>
      </c>
      <c r="F132" s="72">
        <v>200.0</v>
      </c>
      <c r="G132" s="73">
        <v>0.0</v>
      </c>
      <c r="H132" s="74">
        <v>1000.0</v>
      </c>
      <c r="I132" s="70" t="s">
        <v>46</v>
      </c>
      <c r="J132" s="74">
        <f t="shared" si="1"/>
        <v>1800</v>
      </c>
      <c r="K132" s="70" t="s">
        <v>46</v>
      </c>
      <c r="L132" s="71">
        <f t="shared" si="2"/>
        <v>2800</v>
      </c>
      <c r="M132" s="76" t="str">
        <f t="shared" si="3"/>
        <v>diciembre</v>
      </c>
      <c r="N132" s="76">
        <f t="shared" si="4"/>
        <v>2025</v>
      </c>
    </row>
    <row r="133" ht="22.5" customHeight="1">
      <c r="A133" s="67" t="str">
        <f t="array" ref="A133">XLOOKUP(B133,SERVICIOS!B:B,SERVICIOS!A:A,"")</f>
        <v>S01</v>
      </c>
      <c r="B133" s="68" t="s">
        <v>140</v>
      </c>
      <c r="C133" s="69">
        <v>46005.0</v>
      </c>
      <c r="D133" s="70" t="s">
        <v>145</v>
      </c>
      <c r="E133" s="71">
        <f t="array" ref="E133">XLOOKUP($D:$D,LISTA_SERVICIOS,LISTA_PRECIOS,0)</f>
        <v>2600</v>
      </c>
      <c r="F133" s="72">
        <v>0.0</v>
      </c>
      <c r="G133" s="73">
        <v>0.0</v>
      </c>
      <c r="H133" s="74">
        <v>600.0</v>
      </c>
      <c r="I133" s="70" t="s">
        <v>46</v>
      </c>
      <c r="J133" s="74">
        <f t="shared" si="1"/>
        <v>2000</v>
      </c>
      <c r="K133" s="77" t="s">
        <v>46</v>
      </c>
      <c r="L133" s="71">
        <f t="shared" si="2"/>
        <v>2600</v>
      </c>
      <c r="M133" s="76" t="str">
        <f t="shared" si="3"/>
        <v>diciembre</v>
      </c>
      <c r="N133" s="76">
        <f t="shared" si="4"/>
        <v>2025</v>
      </c>
    </row>
    <row r="134" ht="22.5" customHeight="1">
      <c r="A134" s="67" t="str">
        <f t="array" ref="A134">XLOOKUP(B134,SERVICIOS!B:B,SERVICIOS!A:A,"")</f>
        <v>S01</v>
      </c>
      <c r="B134" s="68" t="s">
        <v>140</v>
      </c>
      <c r="C134" s="69">
        <v>46005.0</v>
      </c>
      <c r="D134" s="70" t="s">
        <v>141</v>
      </c>
      <c r="E134" s="71">
        <f t="array" ref="E134">XLOOKUP($D:$D,LISTA_SERVICIOS,LISTA_PRECIOS,0)</f>
        <v>2200</v>
      </c>
      <c r="F134" s="72">
        <v>0.0</v>
      </c>
      <c r="G134" s="73">
        <v>0.0</v>
      </c>
      <c r="H134" s="74">
        <v>660.0</v>
      </c>
      <c r="I134" s="70" t="s">
        <v>46</v>
      </c>
      <c r="J134" s="74">
        <f t="shared" si="1"/>
        <v>1540</v>
      </c>
      <c r="K134" s="70" t="s">
        <v>51</v>
      </c>
      <c r="L134" s="71">
        <f t="shared" si="2"/>
        <v>2200</v>
      </c>
      <c r="M134" s="76" t="str">
        <f t="shared" si="3"/>
        <v>diciembre</v>
      </c>
      <c r="N134" s="76">
        <f t="shared" si="4"/>
        <v>2025</v>
      </c>
    </row>
    <row r="135" ht="22.5" customHeight="1">
      <c r="A135" s="67" t="str">
        <f t="array" ref="A135">XLOOKUP(B135,SERVICIOS!B:B,SERVICIOS!A:A,"")</f>
        <v>S01</v>
      </c>
      <c r="B135" s="68" t="s">
        <v>140</v>
      </c>
      <c r="C135" s="69">
        <v>46007.0</v>
      </c>
      <c r="D135" s="70" t="s">
        <v>145</v>
      </c>
      <c r="E135" s="71">
        <f t="array" ref="E135">XLOOKUP($D:$D,LISTA_SERVICIOS,LISTA_PRECIOS,0)</f>
        <v>2600</v>
      </c>
      <c r="F135" s="72">
        <v>0.0</v>
      </c>
      <c r="G135" s="78">
        <v>200.0</v>
      </c>
      <c r="H135" s="79">
        <v>2400.0</v>
      </c>
      <c r="I135" s="70" t="s">
        <v>46</v>
      </c>
      <c r="J135" s="74">
        <f t="shared" si="1"/>
        <v>0</v>
      </c>
      <c r="K135" s="75"/>
      <c r="L135" s="71">
        <f t="shared" si="2"/>
        <v>2400</v>
      </c>
      <c r="M135" s="76" t="str">
        <f t="shared" si="3"/>
        <v>diciembre</v>
      </c>
      <c r="N135" s="76">
        <f t="shared" si="4"/>
        <v>2025</v>
      </c>
    </row>
    <row r="136" ht="22.5" customHeight="1">
      <c r="A136" s="67" t="str">
        <f t="array" ref="A136">XLOOKUP(B136,SERVICIOS!B:B,SERVICIOS!A:A,"")</f>
        <v>S02</v>
      </c>
      <c r="B136" s="68" t="s">
        <v>143</v>
      </c>
      <c r="C136" s="69">
        <v>46009.0</v>
      </c>
      <c r="D136" s="70" t="s">
        <v>78</v>
      </c>
      <c r="E136" s="71">
        <f t="array" ref="E136">XLOOKUP($D:$D,LISTA_SERVICIOS,LISTA_PRECIOS,0)</f>
        <v>1000</v>
      </c>
      <c r="F136" s="72">
        <v>0.0</v>
      </c>
      <c r="G136" s="73">
        <v>0.0</v>
      </c>
      <c r="H136" s="74">
        <v>300.0</v>
      </c>
      <c r="I136" s="70" t="s">
        <v>46</v>
      </c>
      <c r="J136" s="74">
        <f t="shared" si="1"/>
        <v>700</v>
      </c>
      <c r="K136" s="70" t="s">
        <v>46</v>
      </c>
      <c r="L136" s="71">
        <f t="shared" si="2"/>
        <v>1000</v>
      </c>
      <c r="M136" s="76" t="str">
        <f t="shared" si="3"/>
        <v>diciembre</v>
      </c>
      <c r="N136" s="76">
        <f t="shared" si="4"/>
        <v>2025</v>
      </c>
    </row>
    <row r="137" ht="22.5" customHeight="1">
      <c r="A137" s="67" t="str">
        <f t="array" ref="A137">XLOOKUP(B137,SERVICIOS!B:B,SERVICIOS!A:A,"")</f>
        <v>S01</v>
      </c>
      <c r="B137" s="68" t="s">
        <v>140</v>
      </c>
      <c r="C137" s="69">
        <v>46010.0</v>
      </c>
      <c r="D137" s="70" t="s">
        <v>145</v>
      </c>
      <c r="E137" s="71">
        <f t="array" ref="E137">XLOOKUP($D:$D,LISTA_SERVICIOS,LISTA_PRECIOS,0)</f>
        <v>2600</v>
      </c>
      <c r="F137" s="72">
        <v>0.0</v>
      </c>
      <c r="G137" s="73">
        <v>0.0</v>
      </c>
      <c r="H137" s="74">
        <v>780.0</v>
      </c>
      <c r="I137" s="70" t="s">
        <v>46</v>
      </c>
      <c r="J137" s="74">
        <f t="shared" si="1"/>
        <v>1820</v>
      </c>
      <c r="K137" s="70" t="s">
        <v>46</v>
      </c>
      <c r="L137" s="71">
        <f t="shared" si="2"/>
        <v>2600</v>
      </c>
      <c r="M137" s="76" t="str">
        <f t="shared" si="3"/>
        <v>diciembre</v>
      </c>
      <c r="N137" s="76">
        <f t="shared" si="4"/>
        <v>2025</v>
      </c>
    </row>
    <row r="138" ht="22.5" customHeight="1">
      <c r="A138" s="67" t="str">
        <f t="array" ref="A138">XLOOKUP(B138,SERVICIOS!B:B,SERVICIOS!A:A,"")</f>
        <v>S01</v>
      </c>
      <c r="B138" s="68" t="s">
        <v>140</v>
      </c>
      <c r="C138" s="69">
        <v>46010.0</v>
      </c>
      <c r="D138" s="70" t="s">
        <v>145</v>
      </c>
      <c r="E138" s="71">
        <f t="array" ref="E138">XLOOKUP($D:$D,LISTA_SERVICIOS,LISTA_PRECIOS,0)</f>
        <v>2600</v>
      </c>
      <c r="F138" s="72">
        <v>0.0</v>
      </c>
      <c r="G138" s="73">
        <v>100.0</v>
      </c>
      <c r="H138" s="74"/>
      <c r="I138" s="75"/>
      <c r="J138" s="74">
        <f t="shared" si="1"/>
        <v>2500</v>
      </c>
      <c r="K138" s="70" t="s">
        <v>46</v>
      </c>
      <c r="L138" s="71">
        <f t="shared" si="2"/>
        <v>2500</v>
      </c>
      <c r="M138" s="76" t="str">
        <f t="shared" si="3"/>
        <v>diciembre</v>
      </c>
      <c r="N138" s="76">
        <f t="shared" si="4"/>
        <v>2025</v>
      </c>
    </row>
    <row r="139" ht="22.5" customHeight="1">
      <c r="A139" s="67" t="str">
        <f t="array" ref="A139">XLOOKUP(B139,SERVICIOS!B:B,SERVICIOS!A:A,"")</f>
        <v>S02</v>
      </c>
      <c r="B139" s="68" t="s">
        <v>151</v>
      </c>
      <c r="C139" s="69">
        <v>46011.0</v>
      </c>
      <c r="D139" s="70" t="s">
        <v>75</v>
      </c>
      <c r="E139" s="71">
        <f t="array" ref="E139">XLOOKUP($D:$D,LISTA_SERVICIOS,LISTA_PRECIOS,0)</f>
        <v>800</v>
      </c>
      <c r="F139" s="72">
        <v>0.0</v>
      </c>
      <c r="G139" s="73">
        <v>0.0</v>
      </c>
      <c r="H139" s="74">
        <v>400.0</v>
      </c>
      <c r="I139" s="70" t="s">
        <v>46</v>
      </c>
      <c r="J139" s="74">
        <f t="shared" si="1"/>
        <v>400</v>
      </c>
      <c r="K139" s="70" t="s">
        <v>46</v>
      </c>
      <c r="L139" s="71">
        <f t="shared" si="2"/>
        <v>800</v>
      </c>
      <c r="M139" s="76" t="str">
        <f t="shared" si="3"/>
        <v>diciembre</v>
      </c>
      <c r="N139" s="76">
        <f t="shared" si="4"/>
        <v>2025</v>
      </c>
    </row>
    <row r="140" ht="22.5" customHeight="1">
      <c r="A140" s="67" t="str">
        <f t="array" ref="A140">XLOOKUP(B140,SERVICIOS!B:B,SERVICIOS!A:A,"")</f>
        <v>S02</v>
      </c>
      <c r="B140" s="68" t="s">
        <v>151</v>
      </c>
      <c r="C140" s="69">
        <v>46011.0</v>
      </c>
      <c r="D140" s="70" t="s">
        <v>38</v>
      </c>
      <c r="E140" s="71">
        <f t="array" ref="E140">XLOOKUP($D:$D,LISTA_SERVICIOS,LISTA_PRECIOS,0)</f>
        <v>600</v>
      </c>
      <c r="F140" s="72">
        <v>0.0</v>
      </c>
      <c r="G140" s="73">
        <v>0.0</v>
      </c>
      <c r="H140" s="74">
        <v>200.0</v>
      </c>
      <c r="I140" s="70" t="s">
        <v>46</v>
      </c>
      <c r="J140" s="74">
        <f t="shared" si="1"/>
        <v>400</v>
      </c>
      <c r="K140" s="70" t="s">
        <v>46</v>
      </c>
      <c r="L140" s="71">
        <f t="shared" si="2"/>
        <v>600</v>
      </c>
      <c r="M140" s="76" t="str">
        <f t="shared" si="3"/>
        <v>diciembre</v>
      </c>
      <c r="N140" s="76">
        <f t="shared" si="4"/>
        <v>2025</v>
      </c>
    </row>
    <row r="141" ht="22.5" customHeight="1">
      <c r="A141" s="67" t="str">
        <f t="array" ref="A141">XLOOKUP(B141,SERVICIOS!B:B,SERVICIOS!A:A,"")</f>
        <v>S02</v>
      </c>
      <c r="B141" s="68" t="s">
        <v>143</v>
      </c>
      <c r="C141" s="69">
        <v>46011.0</v>
      </c>
      <c r="D141" s="70" t="s">
        <v>58</v>
      </c>
      <c r="E141" s="71">
        <f t="array" ref="E141">XLOOKUP($D:$D,LISTA_SERVICIOS,LISTA_PRECIOS,0)</f>
        <v>650</v>
      </c>
      <c r="F141" s="72">
        <v>0.0</v>
      </c>
      <c r="G141" s="73">
        <v>200.0</v>
      </c>
      <c r="H141" s="74">
        <v>0.0</v>
      </c>
      <c r="I141" s="75"/>
      <c r="J141" s="74">
        <f t="shared" si="1"/>
        <v>450</v>
      </c>
      <c r="K141" s="70" t="s">
        <v>51</v>
      </c>
      <c r="L141" s="71">
        <f t="shared" si="2"/>
        <v>450</v>
      </c>
      <c r="M141" s="76" t="str">
        <f t="shared" si="3"/>
        <v>diciembre</v>
      </c>
      <c r="N141" s="76">
        <f t="shared" si="4"/>
        <v>2025</v>
      </c>
    </row>
    <row r="142" ht="22.5" customHeight="1">
      <c r="A142" s="67" t="str">
        <f t="array" ref="A142">XLOOKUP(B142,SERVICIOS!B:B,SERVICIOS!A:A,"")</f>
        <v>S02</v>
      </c>
      <c r="B142" s="68" t="s">
        <v>143</v>
      </c>
      <c r="C142" s="69">
        <v>46011.0</v>
      </c>
      <c r="D142" s="70" t="s">
        <v>78</v>
      </c>
      <c r="E142" s="71">
        <f t="array" ref="E142">XLOOKUP($D:$D,LISTA_SERVICIOS,LISTA_PRECIOS,0)</f>
        <v>1000</v>
      </c>
      <c r="F142" s="72">
        <v>0.0</v>
      </c>
      <c r="G142" s="73">
        <v>0.0</v>
      </c>
      <c r="H142" s="74"/>
      <c r="I142" s="75"/>
      <c r="J142" s="74">
        <f t="shared" si="1"/>
        <v>1000</v>
      </c>
      <c r="K142" s="70" t="s">
        <v>46</v>
      </c>
      <c r="L142" s="71">
        <f t="shared" si="2"/>
        <v>1000</v>
      </c>
      <c r="M142" s="76" t="str">
        <f t="shared" si="3"/>
        <v>diciembre</v>
      </c>
      <c r="N142" s="76">
        <f t="shared" si="4"/>
        <v>2025</v>
      </c>
    </row>
    <row r="143" ht="22.5" customHeight="1">
      <c r="A143" s="67" t="str">
        <f t="array" ref="A143">XLOOKUP(B143,SERVICIOS!B:B,SERVICIOS!A:A,"")</f>
        <v>S04</v>
      </c>
      <c r="B143" s="68" t="s">
        <v>148</v>
      </c>
      <c r="C143" s="69">
        <v>46011.0</v>
      </c>
      <c r="D143" s="70" t="s">
        <v>149</v>
      </c>
      <c r="E143" s="71">
        <f t="array" ref="E143">XLOOKUP($D:$D,LISTA_SERVICIOS,LISTA_PRECIOS,0)</f>
        <v>5000</v>
      </c>
      <c r="F143" s="72">
        <v>0.0</v>
      </c>
      <c r="G143" s="73">
        <v>0.0</v>
      </c>
      <c r="H143" s="74">
        <v>1000.0</v>
      </c>
      <c r="I143" s="70" t="s">
        <v>51</v>
      </c>
      <c r="J143" s="74">
        <f t="shared" si="1"/>
        <v>4000</v>
      </c>
      <c r="K143" s="70" t="s">
        <v>56</v>
      </c>
      <c r="L143" s="71">
        <f t="shared" si="2"/>
        <v>5000</v>
      </c>
      <c r="M143" s="76" t="str">
        <f t="shared" si="3"/>
        <v>diciembre</v>
      </c>
      <c r="N143" s="76">
        <f t="shared" si="4"/>
        <v>2025</v>
      </c>
    </row>
    <row r="144" ht="22.5" customHeight="1">
      <c r="A144" s="67" t="str">
        <f t="array" ref="A144">XLOOKUP(B144,SERVICIOS!B:B,SERVICIOS!A:A,"")</f>
        <v>S03</v>
      </c>
      <c r="B144" s="68" t="s">
        <v>142</v>
      </c>
      <c r="C144" s="69">
        <v>46011.0</v>
      </c>
      <c r="D144" s="70" t="s">
        <v>59</v>
      </c>
      <c r="E144" s="71">
        <f t="array" ref="E144">XLOOKUP($D:$D,LISTA_SERVICIOS,LISTA_PRECIOS,0)</f>
        <v>4700</v>
      </c>
      <c r="F144" s="72">
        <v>0.0</v>
      </c>
      <c r="G144" s="73">
        <v>200.0</v>
      </c>
      <c r="H144" s="74">
        <v>450.0</v>
      </c>
      <c r="I144" s="70" t="s">
        <v>56</v>
      </c>
      <c r="J144" s="74">
        <f t="shared" si="1"/>
        <v>4050</v>
      </c>
      <c r="K144" s="70" t="s">
        <v>46</v>
      </c>
      <c r="L144" s="71">
        <f t="shared" si="2"/>
        <v>4500</v>
      </c>
      <c r="M144" s="76" t="str">
        <f t="shared" si="3"/>
        <v>diciembre</v>
      </c>
      <c r="N144" s="76">
        <f t="shared" si="4"/>
        <v>2025</v>
      </c>
    </row>
    <row r="145" ht="22.5" customHeight="1">
      <c r="A145" s="67" t="str">
        <f t="array" ref="A145">XLOOKUP(B145,SERVICIOS!B:B,SERVICIOS!A:A,"")</f>
        <v>S03</v>
      </c>
      <c r="B145" s="68" t="s">
        <v>142</v>
      </c>
      <c r="C145" s="69">
        <v>46011.0</v>
      </c>
      <c r="D145" s="70" t="s">
        <v>69</v>
      </c>
      <c r="E145" s="71">
        <f t="array" ref="E145">XLOOKUP($D:$D,LISTA_SERVICIOS,LISTA_PRECIOS,0)</f>
        <v>6000</v>
      </c>
      <c r="F145" s="80">
        <v>100.0</v>
      </c>
      <c r="G145" s="73">
        <v>0.0</v>
      </c>
      <c r="H145" s="74">
        <v>1500.0</v>
      </c>
      <c r="I145" s="70" t="s">
        <v>56</v>
      </c>
      <c r="J145" s="74">
        <f t="shared" si="1"/>
        <v>4600</v>
      </c>
      <c r="K145" s="70" t="s">
        <v>51</v>
      </c>
      <c r="L145" s="71">
        <f t="shared" si="2"/>
        <v>6100</v>
      </c>
      <c r="M145" s="76" t="str">
        <f t="shared" si="3"/>
        <v>diciembre</v>
      </c>
      <c r="N145" s="76">
        <f t="shared" si="4"/>
        <v>2025</v>
      </c>
    </row>
    <row r="146" ht="22.5" customHeight="1">
      <c r="A146" s="67" t="str">
        <f t="array" ref="A146">XLOOKUP(B146,SERVICIOS!B:B,SERVICIOS!A:A,"")</f>
        <v>S03</v>
      </c>
      <c r="B146" s="68" t="s">
        <v>142</v>
      </c>
      <c r="C146" s="69">
        <v>46011.0</v>
      </c>
      <c r="D146" s="70" t="s">
        <v>39</v>
      </c>
      <c r="E146" s="71">
        <f t="array" ref="E146">XLOOKUP($D:$D,LISTA_SERVICIOS,LISTA_PRECIOS,0)</f>
        <v>2800</v>
      </c>
      <c r="F146" s="72">
        <v>0.0</v>
      </c>
      <c r="G146" s="73">
        <v>1100.0</v>
      </c>
      <c r="H146" s="74">
        <v>0.0</v>
      </c>
      <c r="I146" s="75"/>
      <c r="J146" s="74">
        <f t="shared" si="1"/>
        <v>1700</v>
      </c>
      <c r="K146" s="70" t="s">
        <v>51</v>
      </c>
      <c r="L146" s="71">
        <f t="shared" si="2"/>
        <v>1700</v>
      </c>
      <c r="M146" s="76" t="str">
        <f t="shared" si="3"/>
        <v>diciembre</v>
      </c>
      <c r="N146" s="76">
        <f t="shared" si="4"/>
        <v>2025</v>
      </c>
    </row>
    <row r="147" ht="22.5" customHeight="1">
      <c r="A147" s="67" t="str">
        <f t="array" ref="A147">XLOOKUP(B147,SERVICIOS!B:B,SERVICIOS!A:A,"")</f>
        <v>S01</v>
      </c>
      <c r="B147" s="68" t="s">
        <v>140</v>
      </c>
      <c r="C147" s="69">
        <v>46011.0</v>
      </c>
      <c r="D147" s="70" t="s">
        <v>145</v>
      </c>
      <c r="E147" s="71">
        <f t="array" ref="E147">XLOOKUP($D:$D,LISTA_SERVICIOS,LISTA_PRECIOS,0)</f>
        <v>2600</v>
      </c>
      <c r="F147" s="72">
        <v>0.0</v>
      </c>
      <c r="G147" s="73">
        <v>400.0</v>
      </c>
      <c r="H147" s="74">
        <v>0.0</v>
      </c>
      <c r="I147" s="75"/>
      <c r="J147" s="74">
        <f t="shared" si="1"/>
        <v>2200</v>
      </c>
      <c r="K147" s="70" t="s">
        <v>51</v>
      </c>
      <c r="L147" s="71">
        <f t="shared" si="2"/>
        <v>2200</v>
      </c>
      <c r="M147" s="76" t="str">
        <f t="shared" si="3"/>
        <v>diciembre</v>
      </c>
      <c r="N147" s="76">
        <f t="shared" si="4"/>
        <v>2025</v>
      </c>
    </row>
    <row r="148" ht="22.5" customHeight="1">
      <c r="A148" s="67" t="str">
        <f t="array" ref="A148">XLOOKUP(B148,SERVICIOS!B:B,SERVICIOS!A:A,"")</f>
        <v>S01</v>
      </c>
      <c r="B148" s="68" t="s">
        <v>140</v>
      </c>
      <c r="C148" s="69">
        <v>46011.0</v>
      </c>
      <c r="D148" s="70" t="s">
        <v>145</v>
      </c>
      <c r="E148" s="71">
        <f t="array" ref="E148">XLOOKUP($D:$D,LISTA_SERVICIOS,LISTA_PRECIOS,0)</f>
        <v>2600</v>
      </c>
      <c r="F148" s="72">
        <v>0.0</v>
      </c>
      <c r="G148" s="73">
        <v>300.0</v>
      </c>
      <c r="H148" s="74">
        <v>1000.0</v>
      </c>
      <c r="I148" s="70" t="s">
        <v>51</v>
      </c>
      <c r="J148" s="74">
        <f t="shared" si="1"/>
        <v>1300</v>
      </c>
      <c r="K148" s="70" t="s">
        <v>56</v>
      </c>
      <c r="L148" s="71">
        <f t="shared" si="2"/>
        <v>2300</v>
      </c>
      <c r="M148" s="76" t="str">
        <f t="shared" si="3"/>
        <v>diciembre</v>
      </c>
      <c r="N148" s="76">
        <f t="shared" si="4"/>
        <v>2025</v>
      </c>
    </row>
    <row r="149" ht="22.5" customHeight="1">
      <c r="A149" s="67" t="str">
        <f t="array" ref="A149">XLOOKUP(B149,SERVICIOS!B:B,SERVICIOS!A:A,"")</f>
        <v>S01</v>
      </c>
      <c r="B149" s="68" t="s">
        <v>140</v>
      </c>
      <c r="C149" s="69">
        <v>46011.0</v>
      </c>
      <c r="D149" s="70" t="s">
        <v>141</v>
      </c>
      <c r="E149" s="71">
        <f t="array" ref="E149">XLOOKUP($D:$D,LISTA_SERVICIOS,LISTA_PRECIOS,0)</f>
        <v>2200</v>
      </c>
      <c r="F149" s="72">
        <v>0.0</v>
      </c>
      <c r="G149" s="73">
        <v>0.0</v>
      </c>
      <c r="H149" s="74">
        <v>0.0</v>
      </c>
      <c r="I149" s="75"/>
      <c r="J149" s="74">
        <f t="shared" si="1"/>
        <v>2200</v>
      </c>
      <c r="K149" s="70" t="s">
        <v>46</v>
      </c>
      <c r="L149" s="71">
        <f t="shared" si="2"/>
        <v>2200</v>
      </c>
      <c r="M149" s="76" t="str">
        <f t="shared" si="3"/>
        <v>diciembre</v>
      </c>
      <c r="N149" s="76">
        <f t="shared" si="4"/>
        <v>2025</v>
      </c>
    </row>
    <row r="150" ht="22.5" customHeight="1">
      <c r="A150" s="67" t="str">
        <f t="array" ref="A150">XLOOKUP(B150,SERVICIOS!B:B,SERVICIOS!A:A,"")</f>
        <v>S01</v>
      </c>
      <c r="B150" s="68" t="s">
        <v>140</v>
      </c>
      <c r="C150" s="69">
        <v>46011.0</v>
      </c>
      <c r="D150" s="70" t="s">
        <v>145</v>
      </c>
      <c r="E150" s="71">
        <f t="array" ref="E150">XLOOKUP($D:$D,LISTA_SERVICIOS,LISTA_PRECIOS,0)</f>
        <v>2600</v>
      </c>
      <c r="F150" s="72">
        <v>0.0</v>
      </c>
      <c r="G150" s="73">
        <v>0.0</v>
      </c>
      <c r="H150" s="74">
        <v>0.0</v>
      </c>
      <c r="I150" s="75"/>
      <c r="J150" s="74">
        <f t="shared" si="1"/>
        <v>2600</v>
      </c>
      <c r="K150" s="70" t="s">
        <v>51</v>
      </c>
      <c r="L150" s="71">
        <f t="shared" si="2"/>
        <v>2600</v>
      </c>
      <c r="M150" s="76" t="str">
        <f t="shared" si="3"/>
        <v>diciembre</v>
      </c>
      <c r="N150" s="76">
        <f t="shared" si="4"/>
        <v>2025</v>
      </c>
    </row>
    <row r="151" ht="22.5" customHeight="1">
      <c r="A151" s="67" t="str">
        <f t="array" ref="A151">XLOOKUP(B151,SERVICIOS!B:B,SERVICIOS!A:A,"")</f>
        <v>S02</v>
      </c>
      <c r="B151" s="68" t="s">
        <v>143</v>
      </c>
      <c r="C151" s="69">
        <v>46012.0</v>
      </c>
      <c r="D151" s="70" t="s">
        <v>53</v>
      </c>
      <c r="E151" s="71">
        <f t="array" ref="E151">XLOOKUP($D:$D,LISTA_SERVICIOS,LISTA_PRECIOS,0)</f>
        <v>650</v>
      </c>
      <c r="F151" s="72">
        <v>0.0</v>
      </c>
      <c r="G151" s="73">
        <v>0.0</v>
      </c>
      <c r="H151" s="74">
        <v>300.0</v>
      </c>
      <c r="I151" s="70" t="s">
        <v>46</v>
      </c>
      <c r="J151" s="74">
        <f t="shared" si="1"/>
        <v>350</v>
      </c>
      <c r="K151" s="70" t="s">
        <v>46</v>
      </c>
      <c r="L151" s="71">
        <f t="shared" si="2"/>
        <v>650</v>
      </c>
      <c r="M151" s="76" t="str">
        <f t="shared" si="3"/>
        <v>diciembre</v>
      </c>
      <c r="N151" s="76">
        <f t="shared" si="4"/>
        <v>2025</v>
      </c>
    </row>
    <row r="152" ht="22.5" customHeight="1">
      <c r="A152" s="67" t="str">
        <f t="array" ref="A152">XLOOKUP(B152,SERVICIOS!B:B,SERVICIOS!A:A,"")</f>
        <v>S02</v>
      </c>
      <c r="B152" s="68" t="s">
        <v>143</v>
      </c>
      <c r="C152" s="69">
        <v>46012.0</v>
      </c>
      <c r="D152" s="70" t="s">
        <v>63</v>
      </c>
      <c r="E152" s="71">
        <f t="array" ref="E152">XLOOKUP($D:$D,LISTA_SERVICIOS,LISTA_PRECIOS,0)</f>
        <v>800</v>
      </c>
      <c r="F152" s="72">
        <v>0.0</v>
      </c>
      <c r="G152" s="73">
        <v>0.0</v>
      </c>
      <c r="H152" s="74">
        <v>300.0</v>
      </c>
      <c r="I152" s="70" t="s">
        <v>46</v>
      </c>
      <c r="J152" s="74">
        <f t="shared" si="1"/>
        <v>500</v>
      </c>
      <c r="K152" s="70" t="s">
        <v>46</v>
      </c>
      <c r="L152" s="71">
        <f t="shared" si="2"/>
        <v>800</v>
      </c>
      <c r="M152" s="76" t="str">
        <f t="shared" si="3"/>
        <v>diciembre</v>
      </c>
      <c r="N152" s="76">
        <f t="shared" si="4"/>
        <v>2025</v>
      </c>
    </row>
    <row r="153" ht="22.5" customHeight="1">
      <c r="A153" s="67" t="str">
        <f t="array" ref="A153">XLOOKUP(B153,SERVICIOS!B:B,SERVICIOS!A:A,"")</f>
        <v>S02</v>
      </c>
      <c r="B153" s="68" t="s">
        <v>143</v>
      </c>
      <c r="C153" s="69">
        <v>46012.0</v>
      </c>
      <c r="D153" s="70" t="s">
        <v>78</v>
      </c>
      <c r="E153" s="71">
        <f t="array" ref="E153">XLOOKUP($D:$D,LISTA_SERVICIOS,LISTA_PRECIOS,0)</f>
        <v>1000</v>
      </c>
      <c r="F153" s="72">
        <v>0.0</v>
      </c>
      <c r="G153" s="73">
        <v>0.0</v>
      </c>
      <c r="H153" s="74">
        <v>300.0</v>
      </c>
      <c r="I153" s="70" t="s">
        <v>51</v>
      </c>
      <c r="J153" s="74">
        <f t="shared" si="1"/>
        <v>700</v>
      </c>
      <c r="K153" s="70" t="s">
        <v>51</v>
      </c>
      <c r="L153" s="71">
        <f t="shared" si="2"/>
        <v>1000</v>
      </c>
      <c r="M153" s="76" t="str">
        <f t="shared" si="3"/>
        <v>diciembre</v>
      </c>
      <c r="N153" s="76">
        <f t="shared" si="4"/>
        <v>2025</v>
      </c>
    </row>
    <row r="154" ht="22.5" customHeight="1">
      <c r="A154" s="67" t="str">
        <f t="array" ref="A154">XLOOKUP(B154,SERVICIOS!B:B,SERVICIOS!A:A,"")</f>
        <v>S02</v>
      </c>
      <c r="B154" s="68" t="s">
        <v>143</v>
      </c>
      <c r="C154" s="69">
        <v>46012.0</v>
      </c>
      <c r="D154" s="70" t="s">
        <v>75</v>
      </c>
      <c r="E154" s="71">
        <f t="array" ref="E154">XLOOKUP($D:$D,LISTA_SERVICIOS,LISTA_PRECIOS,0)</f>
        <v>800</v>
      </c>
      <c r="F154" s="72">
        <v>0.0</v>
      </c>
      <c r="G154" s="73">
        <v>0.0</v>
      </c>
      <c r="H154" s="74">
        <v>800.0</v>
      </c>
      <c r="I154" s="70" t="s">
        <v>46</v>
      </c>
      <c r="J154" s="74">
        <f t="shared" si="1"/>
        <v>0</v>
      </c>
      <c r="K154" s="75"/>
      <c r="L154" s="71">
        <f t="shared" si="2"/>
        <v>800</v>
      </c>
      <c r="M154" s="76" t="str">
        <f t="shared" si="3"/>
        <v>diciembre</v>
      </c>
      <c r="N154" s="76">
        <f t="shared" si="4"/>
        <v>2025</v>
      </c>
    </row>
    <row r="155" ht="22.5" customHeight="1">
      <c r="A155" s="67" t="str">
        <f t="array" ref="A155">XLOOKUP(B155,SERVICIOS!B:B,SERVICIOS!A:A,"")</f>
        <v>S03</v>
      </c>
      <c r="B155" s="68" t="s">
        <v>142</v>
      </c>
      <c r="C155" s="69">
        <v>46012.0</v>
      </c>
      <c r="D155" s="70" t="s">
        <v>54</v>
      </c>
      <c r="E155" s="71">
        <f t="array" ref="E155">XLOOKUP($D:$D,LISTA_SERVICIOS,LISTA_PRECIOS,0)</f>
        <v>4000</v>
      </c>
      <c r="F155" s="72">
        <v>800.0</v>
      </c>
      <c r="G155" s="73">
        <v>0.0</v>
      </c>
      <c r="H155" s="74">
        <v>2000.0</v>
      </c>
      <c r="I155" s="70" t="s">
        <v>46</v>
      </c>
      <c r="J155" s="74">
        <f t="shared" si="1"/>
        <v>2800</v>
      </c>
      <c r="K155" s="70" t="s">
        <v>51</v>
      </c>
      <c r="L155" s="71">
        <f t="shared" si="2"/>
        <v>4800</v>
      </c>
      <c r="M155" s="76" t="str">
        <f t="shared" si="3"/>
        <v>diciembre</v>
      </c>
      <c r="N155" s="76">
        <f t="shared" si="4"/>
        <v>2025</v>
      </c>
    </row>
    <row r="156" ht="22.5" customHeight="1">
      <c r="A156" s="67" t="str">
        <f t="array" ref="A156">XLOOKUP(B156,SERVICIOS!B:B,SERVICIOS!A:A,"")</f>
        <v>S03</v>
      </c>
      <c r="B156" s="68" t="s">
        <v>142</v>
      </c>
      <c r="C156" s="69">
        <v>46012.0</v>
      </c>
      <c r="D156" s="70" t="s">
        <v>64</v>
      </c>
      <c r="E156" s="71">
        <f t="array" ref="E156">XLOOKUP($D:$D,LISTA_SERVICIOS,LISTA_PRECIOS,0)</f>
        <v>5500</v>
      </c>
      <c r="F156" s="72">
        <v>1600.0</v>
      </c>
      <c r="G156" s="73">
        <v>0.0</v>
      </c>
      <c r="H156" s="81"/>
      <c r="I156" s="75"/>
      <c r="J156" s="74">
        <f t="shared" si="1"/>
        <v>7100</v>
      </c>
      <c r="K156" s="70" t="s">
        <v>56</v>
      </c>
      <c r="L156" s="71">
        <f t="shared" si="2"/>
        <v>7100</v>
      </c>
      <c r="M156" s="76" t="str">
        <f t="shared" si="3"/>
        <v>diciembre</v>
      </c>
      <c r="N156" s="76">
        <f t="shared" si="4"/>
        <v>2025</v>
      </c>
    </row>
    <row r="157" ht="22.5" customHeight="1">
      <c r="A157" s="67" t="str">
        <f t="array" ref="A157">XLOOKUP(B157,SERVICIOS!B:B,SERVICIOS!A:A,"")</f>
        <v>S02</v>
      </c>
      <c r="B157" s="68" t="s">
        <v>143</v>
      </c>
      <c r="C157" s="69">
        <v>46014.0</v>
      </c>
      <c r="D157" s="70" t="s">
        <v>53</v>
      </c>
      <c r="E157" s="71">
        <f t="array" ref="E157">XLOOKUP($D:$D,LISTA_SERVICIOS,LISTA_PRECIOS,0)</f>
        <v>650</v>
      </c>
      <c r="F157" s="72">
        <v>0.0</v>
      </c>
      <c r="G157" s="73">
        <v>0.0</v>
      </c>
      <c r="H157" s="74">
        <v>650.0</v>
      </c>
      <c r="I157" s="70" t="s">
        <v>46</v>
      </c>
      <c r="J157" s="74">
        <f t="shared" si="1"/>
        <v>0</v>
      </c>
      <c r="K157" s="75"/>
      <c r="L157" s="71">
        <f t="shared" si="2"/>
        <v>650</v>
      </c>
      <c r="M157" s="76" t="str">
        <f t="shared" si="3"/>
        <v>diciembre</v>
      </c>
      <c r="N157" s="76">
        <f t="shared" si="4"/>
        <v>2025</v>
      </c>
    </row>
    <row r="158" ht="22.5" customHeight="1">
      <c r="A158" s="67" t="str">
        <f t="array" ref="A158">XLOOKUP(B158,SERVICIOS!B:B,SERVICIOS!A:A,"")</f>
        <v>S01</v>
      </c>
      <c r="B158" s="68" t="s">
        <v>140</v>
      </c>
      <c r="C158" s="69">
        <v>46014.0</v>
      </c>
      <c r="D158" s="70" t="s">
        <v>141</v>
      </c>
      <c r="E158" s="71">
        <f t="array" ref="E158">XLOOKUP($D:$D,LISTA_SERVICIOS,LISTA_PRECIOS,0)</f>
        <v>2200</v>
      </c>
      <c r="F158" s="72">
        <v>0.0</v>
      </c>
      <c r="G158" s="73">
        <v>0.0</v>
      </c>
      <c r="H158" s="74">
        <v>660.0</v>
      </c>
      <c r="I158" s="70" t="s">
        <v>46</v>
      </c>
      <c r="J158" s="74">
        <f t="shared" si="1"/>
        <v>1540</v>
      </c>
      <c r="K158" s="70" t="s">
        <v>46</v>
      </c>
      <c r="L158" s="71">
        <f t="shared" si="2"/>
        <v>2200</v>
      </c>
      <c r="M158" s="76" t="str">
        <f t="shared" si="3"/>
        <v>diciembre</v>
      </c>
      <c r="N158" s="76">
        <f t="shared" si="4"/>
        <v>2025</v>
      </c>
    </row>
    <row r="159" ht="22.5" customHeight="1">
      <c r="A159" s="67" t="str">
        <f t="array" ref="A159">XLOOKUP(B159,SERVICIOS!B:B,SERVICIOS!A:A,"")</f>
        <v>S02</v>
      </c>
      <c r="B159" s="68" t="s">
        <v>143</v>
      </c>
      <c r="C159" s="69">
        <v>46015.0</v>
      </c>
      <c r="D159" s="70" t="s">
        <v>38</v>
      </c>
      <c r="E159" s="71">
        <f t="array" ref="E159">XLOOKUP($D:$D,LISTA_SERVICIOS,LISTA_PRECIOS,0)</f>
        <v>600</v>
      </c>
      <c r="F159" s="72">
        <v>0.0</v>
      </c>
      <c r="G159" s="73">
        <v>0.0</v>
      </c>
      <c r="H159" s="74">
        <v>600.0</v>
      </c>
      <c r="I159" s="70" t="s">
        <v>46</v>
      </c>
      <c r="J159" s="74">
        <f t="shared" si="1"/>
        <v>0</v>
      </c>
      <c r="K159" s="75"/>
      <c r="L159" s="71">
        <f t="shared" si="2"/>
        <v>600</v>
      </c>
      <c r="M159" s="76" t="str">
        <f t="shared" si="3"/>
        <v>diciembre</v>
      </c>
      <c r="N159" s="76">
        <f t="shared" si="4"/>
        <v>2025</v>
      </c>
    </row>
    <row r="160" ht="22.5" customHeight="1">
      <c r="A160" s="67" t="str">
        <f t="array" ref="A160">XLOOKUP(B160,SERVICIOS!B:B,SERVICIOS!A:A,"")</f>
        <v>S02</v>
      </c>
      <c r="B160" s="68" t="s">
        <v>143</v>
      </c>
      <c r="C160" s="69">
        <v>46015.0</v>
      </c>
      <c r="D160" s="70" t="s">
        <v>75</v>
      </c>
      <c r="E160" s="71">
        <f t="array" ref="E160">XLOOKUP($D:$D,LISTA_SERVICIOS,LISTA_PRECIOS,0)</f>
        <v>800</v>
      </c>
      <c r="F160" s="72">
        <v>100.0</v>
      </c>
      <c r="G160" s="73">
        <v>0.0</v>
      </c>
      <c r="H160" s="74">
        <v>0.0</v>
      </c>
      <c r="I160" s="75"/>
      <c r="J160" s="74">
        <f t="shared" si="1"/>
        <v>900</v>
      </c>
      <c r="K160" s="70" t="s">
        <v>46</v>
      </c>
      <c r="L160" s="71">
        <f t="shared" si="2"/>
        <v>900</v>
      </c>
      <c r="M160" s="76" t="str">
        <f t="shared" si="3"/>
        <v>diciembre</v>
      </c>
      <c r="N160" s="76">
        <f t="shared" si="4"/>
        <v>2025</v>
      </c>
    </row>
    <row r="161" ht="22.5" customHeight="1">
      <c r="A161" s="67" t="str">
        <f t="array" ref="A161">XLOOKUP(B161,SERVICIOS!B:B,SERVICIOS!A:A,"")</f>
        <v>S02</v>
      </c>
      <c r="B161" s="68" t="s">
        <v>143</v>
      </c>
      <c r="C161" s="69">
        <v>46015.0</v>
      </c>
      <c r="D161" s="70" t="s">
        <v>48</v>
      </c>
      <c r="E161" s="71">
        <f t="array" ref="E161">XLOOKUP($D:$D,LISTA_SERVICIOS,LISTA_PRECIOS,0)</f>
        <v>650</v>
      </c>
      <c r="F161" s="72">
        <v>0.0</v>
      </c>
      <c r="G161" s="73">
        <v>0.0</v>
      </c>
      <c r="H161" s="74">
        <v>0.0</v>
      </c>
      <c r="I161" s="75"/>
      <c r="J161" s="74">
        <f t="shared" si="1"/>
        <v>650</v>
      </c>
      <c r="K161" s="70" t="s">
        <v>46</v>
      </c>
      <c r="L161" s="71">
        <f t="shared" si="2"/>
        <v>650</v>
      </c>
      <c r="M161" s="76" t="str">
        <f t="shared" si="3"/>
        <v>diciembre</v>
      </c>
      <c r="N161" s="76">
        <f t="shared" si="4"/>
        <v>2025</v>
      </c>
    </row>
    <row r="162" ht="22.5" customHeight="1">
      <c r="A162" s="67" t="str">
        <f t="array" ref="A162">XLOOKUP(B162,SERVICIOS!B:B,SERVICIOS!A:A,"")</f>
        <v>S02</v>
      </c>
      <c r="B162" s="68" t="s">
        <v>143</v>
      </c>
      <c r="C162" s="69">
        <v>46015.0</v>
      </c>
      <c r="D162" s="70" t="s">
        <v>63</v>
      </c>
      <c r="E162" s="71">
        <f t="array" ref="E162">XLOOKUP($D:$D,LISTA_SERVICIOS,LISTA_PRECIOS,0)</f>
        <v>800</v>
      </c>
      <c r="F162" s="72">
        <v>0.0</v>
      </c>
      <c r="G162" s="73">
        <v>0.0</v>
      </c>
      <c r="H162" s="81"/>
      <c r="I162" s="75"/>
      <c r="J162" s="74">
        <f t="shared" si="1"/>
        <v>800</v>
      </c>
      <c r="K162" s="70" t="s">
        <v>46</v>
      </c>
      <c r="L162" s="71">
        <f t="shared" si="2"/>
        <v>800</v>
      </c>
      <c r="M162" s="76" t="str">
        <f t="shared" si="3"/>
        <v>diciembre</v>
      </c>
      <c r="N162" s="76">
        <f t="shared" si="4"/>
        <v>2025</v>
      </c>
    </row>
    <row r="163" ht="22.5" customHeight="1">
      <c r="A163" s="67" t="str">
        <f t="array" ref="A163">XLOOKUP(B163,SERVICIOS!B:B,SERVICIOS!A:A,"")</f>
        <v>S01</v>
      </c>
      <c r="B163" s="68" t="s">
        <v>140</v>
      </c>
      <c r="C163" s="69">
        <v>46015.0</v>
      </c>
      <c r="D163" s="70" t="s">
        <v>146</v>
      </c>
      <c r="E163" s="71">
        <f t="array" ref="E163">XLOOKUP($D:$D,LISTA_SERVICIOS,LISTA_PRECIOS,0)</f>
        <v>3000</v>
      </c>
      <c r="F163" s="72">
        <v>0.0</v>
      </c>
      <c r="G163" s="73">
        <v>0.0</v>
      </c>
      <c r="H163" s="74">
        <v>1500.0</v>
      </c>
      <c r="I163" s="70" t="s">
        <v>46</v>
      </c>
      <c r="J163" s="74">
        <f t="shared" si="1"/>
        <v>1500</v>
      </c>
      <c r="K163" s="70" t="s">
        <v>46</v>
      </c>
      <c r="L163" s="71">
        <f t="shared" si="2"/>
        <v>3000</v>
      </c>
      <c r="M163" s="76" t="str">
        <f t="shared" si="3"/>
        <v>diciembre</v>
      </c>
      <c r="N163" s="76">
        <f t="shared" si="4"/>
        <v>2025</v>
      </c>
    </row>
    <row r="164" ht="22.5" customHeight="1">
      <c r="A164" s="67" t="str">
        <f t="array" ref="A164">XLOOKUP(B164,SERVICIOS!B:B,SERVICIOS!A:A,"")</f>
        <v>S03</v>
      </c>
      <c r="B164" s="68" t="s">
        <v>142</v>
      </c>
      <c r="C164" s="69">
        <v>46017.0</v>
      </c>
      <c r="D164" s="70" t="s">
        <v>54</v>
      </c>
      <c r="E164" s="71">
        <f t="array" ref="E164">XLOOKUP($D:$D,LISTA_SERVICIOS,LISTA_PRECIOS,0)</f>
        <v>4000</v>
      </c>
      <c r="F164" s="72">
        <v>0.0</v>
      </c>
      <c r="G164" s="73">
        <v>0.0</v>
      </c>
      <c r="H164" s="74">
        <v>4000.0</v>
      </c>
      <c r="I164" s="70" t="s">
        <v>46</v>
      </c>
      <c r="J164" s="74">
        <f t="shared" si="1"/>
        <v>0</v>
      </c>
      <c r="K164" s="75"/>
      <c r="L164" s="71">
        <f t="shared" si="2"/>
        <v>4000</v>
      </c>
      <c r="M164" s="76" t="str">
        <f t="shared" si="3"/>
        <v>diciembre</v>
      </c>
      <c r="N164" s="76">
        <f t="shared" si="4"/>
        <v>2025</v>
      </c>
    </row>
    <row r="165" ht="22.5" customHeight="1">
      <c r="A165" s="67" t="str">
        <f t="array" ref="A165">XLOOKUP(B165,SERVICIOS!B:B,SERVICIOS!A:A,"")</f>
        <v>S02</v>
      </c>
      <c r="B165" s="68" t="s">
        <v>143</v>
      </c>
      <c r="C165" s="69">
        <v>46018.0</v>
      </c>
      <c r="D165" s="70" t="s">
        <v>43</v>
      </c>
      <c r="E165" s="71">
        <f t="array" ref="E165">XLOOKUP($D:$D,LISTA_SERVICIOS,LISTA_PRECIOS,0)</f>
        <v>600</v>
      </c>
      <c r="F165" s="72">
        <v>0.0</v>
      </c>
      <c r="G165" s="73">
        <v>0.0</v>
      </c>
      <c r="H165" s="74">
        <v>0.0</v>
      </c>
      <c r="I165" s="75"/>
      <c r="J165" s="74">
        <f t="shared" si="1"/>
        <v>600</v>
      </c>
      <c r="K165" s="70" t="s">
        <v>46</v>
      </c>
      <c r="L165" s="71">
        <f t="shared" si="2"/>
        <v>600</v>
      </c>
      <c r="M165" s="76" t="str">
        <f t="shared" si="3"/>
        <v>diciembre</v>
      </c>
      <c r="N165" s="76">
        <f t="shared" si="4"/>
        <v>2025</v>
      </c>
    </row>
    <row r="166" ht="22.5" customHeight="1">
      <c r="A166" s="67" t="str">
        <f t="array" ref="A166">XLOOKUP(B166,SERVICIOS!B:B,SERVICIOS!A:A,"")</f>
        <v>S02</v>
      </c>
      <c r="B166" s="68" t="s">
        <v>143</v>
      </c>
      <c r="C166" s="69">
        <v>46018.0</v>
      </c>
      <c r="D166" s="70" t="s">
        <v>75</v>
      </c>
      <c r="E166" s="71">
        <f t="array" ref="E166">XLOOKUP($D:$D,LISTA_SERVICIOS,LISTA_PRECIOS,0)</f>
        <v>800</v>
      </c>
      <c r="F166" s="72">
        <v>0.0</v>
      </c>
      <c r="G166" s="73">
        <v>0.0</v>
      </c>
      <c r="H166" s="74">
        <v>0.0</v>
      </c>
      <c r="I166" s="75"/>
      <c r="J166" s="74">
        <f t="shared" si="1"/>
        <v>800</v>
      </c>
      <c r="K166" s="70" t="s">
        <v>46</v>
      </c>
      <c r="L166" s="71">
        <f t="shared" si="2"/>
        <v>800</v>
      </c>
      <c r="M166" s="76" t="str">
        <f t="shared" si="3"/>
        <v>diciembre</v>
      </c>
      <c r="N166" s="76">
        <f t="shared" si="4"/>
        <v>2025</v>
      </c>
    </row>
    <row r="167" ht="22.5" customHeight="1">
      <c r="A167" s="67" t="str">
        <f t="array" ref="A167">XLOOKUP(B167,SERVICIOS!B:B,SERVICIOS!A:A,"")</f>
        <v>S04</v>
      </c>
      <c r="B167" s="68" t="s">
        <v>148</v>
      </c>
      <c r="C167" s="69">
        <v>46018.0</v>
      </c>
      <c r="D167" s="70" t="s">
        <v>149</v>
      </c>
      <c r="E167" s="71">
        <f t="array" ref="E167">XLOOKUP($D:$D,LISTA_SERVICIOS,LISTA_PRECIOS,0)</f>
        <v>5000</v>
      </c>
      <c r="F167" s="72">
        <v>1000.0</v>
      </c>
      <c r="G167" s="73">
        <v>0.0</v>
      </c>
      <c r="H167" s="74">
        <v>0.0</v>
      </c>
      <c r="I167" s="75"/>
      <c r="J167" s="74">
        <f t="shared" si="1"/>
        <v>6000</v>
      </c>
      <c r="K167" s="70" t="s">
        <v>51</v>
      </c>
      <c r="L167" s="71">
        <f t="shared" si="2"/>
        <v>6000</v>
      </c>
      <c r="M167" s="76" t="str">
        <f t="shared" si="3"/>
        <v>diciembre</v>
      </c>
      <c r="N167" s="76">
        <f t="shared" si="4"/>
        <v>2025</v>
      </c>
    </row>
    <row r="168" ht="22.5" customHeight="1">
      <c r="A168" s="67" t="str">
        <f t="array" ref="A168">XLOOKUP(B168,SERVICIOS!B:B,SERVICIOS!A:A,"")</f>
        <v>S03</v>
      </c>
      <c r="B168" s="68" t="s">
        <v>142</v>
      </c>
      <c r="C168" s="69">
        <v>46018.0</v>
      </c>
      <c r="D168" s="70" t="s">
        <v>54</v>
      </c>
      <c r="E168" s="71">
        <f t="array" ref="E168">XLOOKUP($D:$D,LISTA_SERVICIOS,LISTA_PRECIOS,0)</f>
        <v>4000</v>
      </c>
      <c r="F168" s="72">
        <v>0.0</v>
      </c>
      <c r="G168" s="73">
        <v>0.0</v>
      </c>
      <c r="H168" s="74">
        <v>1000.0</v>
      </c>
      <c r="I168" s="70" t="s">
        <v>46</v>
      </c>
      <c r="J168" s="74">
        <f t="shared" si="1"/>
        <v>3000</v>
      </c>
      <c r="K168" s="70" t="s">
        <v>46</v>
      </c>
      <c r="L168" s="71">
        <f t="shared" si="2"/>
        <v>4000</v>
      </c>
      <c r="M168" s="76" t="str">
        <f t="shared" si="3"/>
        <v>diciembre</v>
      </c>
      <c r="N168" s="76">
        <f t="shared" si="4"/>
        <v>2025</v>
      </c>
    </row>
    <row r="169" ht="22.5" customHeight="1">
      <c r="A169" s="67" t="str">
        <f t="array" ref="A169">XLOOKUP(B169,SERVICIOS!B:B,SERVICIOS!A:A,"")</f>
        <v>S03</v>
      </c>
      <c r="B169" s="68" t="s">
        <v>142</v>
      </c>
      <c r="C169" s="69">
        <v>46018.0</v>
      </c>
      <c r="D169" s="70" t="s">
        <v>69</v>
      </c>
      <c r="E169" s="71">
        <f t="array" ref="E169">XLOOKUP($D:$D,LISTA_SERVICIOS,LISTA_PRECIOS,0)</f>
        <v>6000</v>
      </c>
      <c r="F169" s="72">
        <v>1200.0</v>
      </c>
      <c r="G169" s="73">
        <v>0.0</v>
      </c>
      <c r="H169" s="74">
        <v>3000.0</v>
      </c>
      <c r="I169" s="70" t="s">
        <v>46</v>
      </c>
      <c r="J169" s="74">
        <f t="shared" si="1"/>
        <v>4200</v>
      </c>
      <c r="K169" s="70" t="s">
        <v>51</v>
      </c>
      <c r="L169" s="71">
        <f t="shared" si="2"/>
        <v>7200</v>
      </c>
      <c r="M169" s="76" t="str">
        <f t="shared" si="3"/>
        <v>diciembre</v>
      </c>
      <c r="N169" s="76">
        <f t="shared" si="4"/>
        <v>2025</v>
      </c>
    </row>
    <row r="170" ht="22.5" customHeight="1">
      <c r="A170" s="67" t="str">
        <f t="array" ref="A170">XLOOKUP(B170,SERVICIOS!B:B,SERVICIOS!A:A,"")</f>
        <v>S01</v>
      </c>
      <c r="B170" s="68" t="s">
        <v>140</v>
      </c>
      <c r="C170" s="69">
        <v>46018.0</v>
      </c>
      <c r="D170" s="70" t="s">
        <v>145</v>
      </c>
      <c r="E170" s="71">
        <f t="array" ref="E170">XLOOKUP($D:$D,LISTA_SERVICIOS,LISTA_PRECIOS,0)</f>
        <v>2600</v>
      </c>
      <c r="F170" s="72">
        <v>700.0</v>
      </c>
      <c r="G170" s="73">
        <v>200.0</v>
      </c>
      <c r="H170" s="74">
        <v>0.0</v>
      </c>
      <c r="I170" s="75"/>
      <c r="J170" s="74">
        <f t="shared" si="1"/>
        <v>3100</v>
      </c>
      <c r="K170" s="70" t="s">
        <v>51</v>
      </c>
      <c r="L170" s="71">
        <f t="shared" si="2"/>
        <v>3100</v>
      </c>
      <c r="M170" s="76" t="str">
        <f t="shared" si="3"/>
        <v>diciembre</v>
      </c>
      <c r="N170" s="76">
        <f t="shared" si="4"/>
        <v>2025</v>
      </c>
    </row>
    <row r="171" ht="22.5" customHeight="1">
      <c r="A171" s="67" t="str">
        <f t="array" ref="A171">XLOOKUP(B171,SERVICIOS!B:B,SERVICIOS!A:A,"")</f>
        <v>S03</v>
      </c>
      <c r="B171" s="68" t="s">
        <v>142</v>
      </c>
      <c r="C171" s="69">
        <v>46021.0</v>
      </c>
      <c r="D171" s="70" t="s">
        <v>54</v>
      </c>
      <c r="E171" s="71">
        <f t="array" ref="E171">XLOOKUP($D:$D,LISTA_SERVICIOS,LISTA_PRECIOS,0)</f>
        <v>4000</v>
      </c>
      <c r="F171" s="72">
        <v>500.0</v>
      </c>
      <c r="G171" s="73">
        <v>200.0</v>
      </c>
      <c r="H171" s="74">
        <v>2190.0</v>
      </c>
      <c r="I171" s="70" t="s">
        <v>46</v>
      </c>
      <c r="J171" s="74">
        <f t="shared" si="1"/>
        <v>2110</v>
      </c>
      <c r="K171" s="70" t="s">
        <v>51</v>
      </c>
      <c r="L171" s="71">
        <f t="shared" si="2"/>
        <v>4300</v>
      </c>
      <c r="M171" s="76" t="str">
        <f t="shared" si="3"/>
        <v>diciembre</v>
      </c>
      <c r="N171" s="76">
        <f t="shared" si="4"/>
        <v>2025</v>
      </c>
    </row>
    <row r="172" ht="22.5" customHeight="1">
      <c r="A172" s="67" t="str">
        <f t="array" ref="A172">XLOOKUP(B172,SERVICIOS!B:B,SERVICIOS!A:A,"")</f>
        <v>S01</v>
      </c>
      <c r="B172" s="68" t="s">
        <v>140</v>
      </c>
      <c r="C172" s="69">
        <v>46021.0</v>
      </c>
      <c r="D172" s="70" t="s">
        <v>146</v>
      </c>
      <c r="E172" s="71">
        <f t="array" ref="E172">XLOOKUP($D:$D,LISTA_SERVICIOS,LISTA_PRECIOS,0)</f>
        <v>3000</v>
      </c>
      <c r="F172" s="72">
        <v>0.0</v>
      </c>
      <c r="G172" s="73">
        <v>0.0</v>
      </c>
      <c r="H172" s="74">
        <v>0.0</v>
      </c>
      <c r="I172" s="70"/>
      <c r="J172" s="74">
        <f t="shared" si="1"/>
        <v>3000</v>
      </c>
      <c r="K172" s="70" t="s">
        <v>51</v>
      </c>
      <c r="L172" s="71">
        <f t="shared" si="2"/>
        <v>3000</v>
      </c>
      <c r="M172" s="76" t="str">
        <f t="shared" si="3"/>
        <v>diciembre</v>
      </c>
      <c r="N172" s="76">
        <f t="shared" si="4"/>
        <v>2025</v>
      </c>
    </row>
    <row r="173" ht="22.5" customHeight="1">
      <c r="A173" s="67" t="str">
        <f t="array" ref="A173">XLOOKUP(B173,SERVICIOS!B:B,SERVICIOS!A:A,"")</f>
        <v>S02</v>
      </c>
      <c r="B173" s="68" t="s">
        <v>143</v>
      </c>
      <c r="C173" s="69">
        <v>46022.0</v>
      </c>
      <c r="D173" s="70" t="s">
        <v>75</v>
      </c>
      <c r="E173" s="71">
        <f t="array" ref="E173">XLOOKUP($D:$D,LISTA_SERVICIOS,LISTA_PRECIOS,0)</f>
        <v>800</v>
      </c>
      <c r="F173" s="72">
        <v>100.0</v>
      </c>
      <c r="G173" s="73">
        <v>0.0</v>
      </c>
      <c r="H173" s="74">
        <v>0.0</v>
      </c>
      <c r="I173" s="75"/>
      <c r="J173" s="74">
        <f t="shared" si="1"/>
        <v>900</v>
      </c>
      <c r="K173" s="70" t="s">
        <v>51</v>
      </c>
      <c r="L173" s="71">
        <f t="shared" si="2"/>
        <v>900</v>
      </c>
      <c r="M173" s="76" t="str">
        <f t="shared" si="3"/>
        <v>diciembre</v>
      </c>
      <c r="N173" s="76">
        <f t="shared" si="4"/>
        <v>2025</v>
      </c>
    </row>
    <row r="174" ht="22.5" customHeight="1">
      <c r="A174" s="67" t="str">
        <f t="array" ref="A174">XLOOKUP(B174,SERVICIOS!B:B,SERVICIOS!A:A,"")</f>
        <v>S02</v>
      </c>
      <c r="B174" s="68" t="s">
        <v>143</v>
      </c>
      <c r="C174" s="69">
        <v>46022.0</v>
      </c>
      <c r="D174" s="70" t="s">
        <v>53</v>
      </c>
      <c r="E174" s="71">
        <f t="array" ref="E174">XLOOKUP($D:$D,LISTA_SERVICIOS,LISTA_PRECIOS,0)</f>
        <v>650</v>
      </c>
      <c r="F174" s="72">
        <v>0.0</v>
      </c>
      <c r="G174" s="73">
        <v>0.0</v>
      </c>
      <c r="H174" s="74">
        <v>200.0</v>
      </c>
      <c r="I174" s="70" t="s">
        <v>46</v>
      </c>
      <c r="J174" s="74">
        <f t="shared" si="1"/>
        <v>450</v>
      </c>
      <c r="K174" s="70" t="s">
        <v>46</v>
      </c>
      <c r="L174" s="71">
        <f t="shared" si="2"/>
        <v>650</v>
      </c>
      <c r="M174" s="76" t="str">
        <f t="shared" si="3"/>
        <v>diciembre</v>
      </c>
      <c r="N174" s="76">
        <f t="shared" si="4"/>
        <v>2025</v>
      </c>
    </row>
    <row r="175" ht="22.5" customHeight="1">
      <c r="A175" s="67" t="str">
        <f t="array" ref="A175">XLOOKUP(B175,SERVICIOS!B:B,SERVICIOS!A:A,"")</f>
        <v>S01</v>
      </c>
      <c r="B175" s="68" t="s">
        <v>140</v>
      </c>
      <c r="C175" s="69">
        <v>46022.0</v>
      </c>
      <c r="D175" s="70" t="s">
        <v>146</v>
      </c>
      <c r="E175" s="71">
        <f t="array" ref="E175">XLOOKUP($D:$D,LISTA_SERVICIOS,LISTA_PRECIOS,0)</f>
        <v>3000</v>
      </c>
      <c r="F175" s="72">
        <v>200.0</v>
      </c>
      <c r="G175" s="73">
        <v>0.0</v>
      </c>
      <c r="H175" s="74">
        <v>0.0</v>
      </c>
      <c r="I175" s="70"/>
      <c r="J175" s="74">
        <f t="shared" si="1"/>
        <v>3200</v>
      </c>
      <c r="K175" s="70" t="s">
        <v>51</v>
      </c>
      <c r="L175" s="71">
        <f t="shared" si="2"/>
        <v>3200</v>
      </c>
      <c r="M175" s="76" t="str">
        <f t="shared" si="3"/>
        <v>diciembre</v>
      </c>
      <c r="N175" s="76">
        <f t="shared" si="4"/>
        <v>2025</v>
      </c>
    </row>
    <row r="176" ht="22.5" customHeight="1">
      <c r="A176" s="67" t="str">
        <f t="array" ref="A176">XLOOKUP(B176,SERVICIOS!B:B,SERVICIOS!A:A,"")</f>
        <v>S01</v>
      </c>
      <c r="B176" s="68" t="s">
        <v>140</v>
      </c>
      <c r="C176" s="69">
        <v>46022.0</v>
      </c>
      <c r="D176" s="70" t="s">
        <v>146</v>
      </c>
      <c r="E176" s="71">
        <f t="array" ref="E176">XLOOKUP($D:$D,LISTA_SERVICIOS,LISTA_PRECIOS,0)</f>
        <v>3000</v>
      </c>
      <c r="F176" s="72">
        <v>0.0</v>
      </c>
      <c r="G176" s="73">
        <v>0.0</v>
      </c>
      <c r="H176" s="74">
        <v>0.0</v>
      </c>
      <c r="I176" s="75"/>
      <c r="J176" s="74">
        <f t="shared" si="1"/>
        <v>3000</v>
      </c>
      <c r="K176" s="70" t="s">
        <v>56</v>
      </c>
      <c r="L176" s="71">
        <f t="shared" si="2"/>
        <v>3000</v>
      </c>
      <c r="M176" s="76" t="str">
        <f t="shared" si="3"/>
        <v>diciembre</v>
      </c>
      <c r="N176" s="76">
        <f t="shared" si="4"/>
        <v>2025</v>
      </c>
    </row>
    <row r="177" ht="22.5" customHeight="1">
      <c r="A177" s="67" t="str">
        <f t="array" ref="A177">XLOOKUP(B177,SERVICIOS!B:B,SERVICIOS!A:A,"")</f>
        <v>S01</v>
      </c>
      <c r="B177" s="68" t="s">
        <v>140</v>
      </c>
      <c r="C177" s="69">
        <v>46025.0</v>
      </c>
      <c r="D177" s="70" t="s">
        <v>145</v>
      </c>
      <c r="E177" s="71">
        <f t="array" ref="E177">XLOOKUP($D:$D,LISTA_SERVICIOS,LISTA_PRECIOS,0)</f>
        <v>2600</v>
      </c>
      <c r="F177" s="72">
        <v>0.0</v>
      </c>
      <c r="G177" s="73">
        <v>0.0</v>
      </c>
      <c r="H177" s="74">
        <v>1300.0</v>
      </c>
      <c r="I177" s="70" t="s">
        <v>46</v>
      </c>
      <c r="J177" s="74">
        <f t="shared" si="1"/>
        <v>1300</v>
      </c>
      <c r="K177" s="70" t="s">
        <v>46</v>
      </c>
      <c r="L177" s="71">
        <f t="shared" si="2"/>
        <v>2600</v>
      </c>
      <c r="M177" s="76" t="str">
        <f t="shared" si="3"/>
        <v>enero</v>
      </c>
      <c r="N177" s="76">
        <f t="shared" si="4"/>
        <v>2026</v>
      </c>
    </row>
    <row r="178" ht="22.5" customHeight="1">
      <c r="A178" s="67" t="str">
        <f t="array" ref="A178">XLOOKUP(B178,SERVICIOS!B:B,SERVICIOS!A:A,"")</f>
        <v>S02</v>
      </c>
      <c r="B178" s="68" t="s">
        <v>143</v>
      </c>
      <c r="C178" s="69">
        <v>46026.0</v>
      </c>
      <c r="D178" s="70" t="s">
        <v>58</v>
      </c>
      <c r="E178" s="71">
        <f t="array" ref="E178">XLOOKUP($D:$D,LISTA_SERVICIOS,LISTA_PRECIOS,0)</f>
        <v>650</v>
      </c>
      <c r="F178" s="72">
        <v>100.0</v>
      </c>
      <c r="G178" s="73">
        <v>0.0</v>
      </c>
      <c r="H178" s="74">
        <v>750.0</v>
      </c>
      <c r="I178" s="70" t="s">
        <v>46</v>
      </c>
      <c r="J178" s="74">
        <f t="shared" si="1"/>
        <v>0</v>
      </c>
      <c r="K178" s="75"/>
      <c r="L178" s="71">
        <f t="shared" si="2"/>
        <v>750</v>
      </c>
      <c r="M178" s="76" t="str">
        <f t="shared" si="3"/>
        <v>enero</v>
      </c>
      <c r="N178" s="76">
        <f t="shared" si="4"/>
        <v>2026</v>
      </c>
    </row>
    <row r="179" ht="22.5" customHeight="1">
      <c r="A179" s="67" t="str">
        <f t="array" ref="A179">XLOOKUP(B179,SERVICIOS!B:B,SERVICIOS!A:A,"")</f>
        <v>S01</v>
      </c>
      <c r="B179" s="68" t="s">
        <v>140</v>
      </c>
      <c r="C179" s="69">
        <v>46028.0</v>
      </c>
      <c r="D179" s="70" t="s">
        <v>145</v>
      </c>
      <c r="E179" s="71">
        <f t="array" ref="E179">XLOOKUP($D:$D,LISTA_SERVICIOS,LISTA_PRECIOS,0)</f>
        <v>2600</v>
      </c>
      <c r="F179" s="72">
        <v>184.0</v>
      </c>
      <c r="G179" s="73">
        <v>0.0</v>
      </c>
      <c r="H179" s="74">
        <v>0.0</v>
      </c>
      <c r="I179" s="70" t="s">
        <v>56</v>
      </c>
      <c r="J179" s="74">
        <f t="shared" si="1"/>
        <v>2784</v>
      </c>
      <c r="K179" s="82" t="s">
        <v>56</v>
      </c>
      <c r="L179" s="71">
        <f t="shared" si="2"/>
        <v>2784</v>
      </c>
      <c r="M179" s="76" t="str">
        <f t="shared" si="3"/>
        <v>enero</v>
      </c>
      <c r="N179" s="76">
        <f t="shared" si="4"/>
        <v>2026</v>
      </c>
    </row>
    <row r="180" ht="22.5" customHeight="1">
      <c r="A180" s="67" t="str">
        <f t="array" ref="A180">XLOOKUP(B180,SERVICIOS!B:B,SERVICIOS!A:A,"")</f>
        <v>S02</v>
      </c>
      <c r="B180" s="68" t="s">
        <v>143</v>
      </c>
      <c r="C180" s="69">
        <v>46030.0</v>
      </c>
      <c r="D180" s="70" t="s">
        <v>38</v>
      </c>
      <c r="E180" s="71">
        <f t="array" ref="E180">XLOOKUP($D:$D,LISTA_SERVICIOS,LISTA_PRECIOS,0)</f>
        <v>600</v>
      </c>
      <c r="F180" s="72">
        <v>0.0</v>
      </c>
      <c r="G180" s="73">
        <v>0.0</v>
      </c>
      <c r="H180" s="74">
        <v>0.0</v>
      </c>
      <c r="I180" s="70" t="s">
        <v>46</v>
      </c>
      <c r="J180" s="74">
        <f t="shared" si="1"/>
        <v>600</v>
      </c>
      <c r="K180" s="70" t="s">
        <v>46</v>
      </c>
      <c r="L180" s="71">
        <f t="shared" si="2"/>
        <v>600</v>
      </c>
      <c r="M180" s="76" t="str">
        <f t="shared" si="3"/>
        <v>enero</v>
      </c>
      <c r="N180" s="76">
        <f t="shared" si="4"/>
        <v>2026</v>
      </c>
    </row>
    <row r="181" ht="22.5" customHeight="1">
      <c r="A181" s="67" t="str">
        <f t="array" ref="A181">XLOOKUP(B181,SERVICIOS!B:B,SERVICIOS!A:A,"")</f>
        <v>S01</v>
      </c>
      <c r="B181" s="68" t="s">
        <v>140</v>
      </c>
      <c r="C181" s="69">
        <v>46032.0</v>
      </c>
      <c r="D181" s="70" t="s">
        <v>146</v>
      </c>
      <c r="E181" s="71">
        <f t="array" ref="E181">XLOOKUP($D:$D,LISTA_SERVICIOS,LISTA_PRECIOS,0)</f>
        <v>3000</v>
      </c>
      <c r="F181" s="72">
        <v>0.0</v>
      </c>
      <c r="G181" s="73">
        <v>600.0</v>
      </c>
      <c r="H181" s="74">
        <v>0.0</v>
      </c>
      <c r="I181" s="70" t="s">
        <v>56</v>
      </c>
      <c r="J181" s="74">
        <f t="shared" si="1"/>
        <v>2400</v>
      </c>
      <c r="K181" s="70" t="s">
        <v>56</v>
      </c>
      <c r="L181" s="71">
        <f t="shared" si="2"/>
        <v>2400</v>
      </c>
      <c r="M181" s="76" t="str">
        <f t="shared" si="3"/>
        <v>enero</v>
      </c>
      <c r="N181" s="76">
        <f t="shared" si="4"/>
        <v>2026</v>
      </c>
    </row>
    <row r="182" ht="22.5" customHeight="1">
      <c r="A182" s="67" t="str">
        <f t="array" ref="A182">XLOOKUP(B182,SERVICIOS!B:B,SERVICIOS!A:A,"")</f>
        <v>S02</v>
      </c>
      <c r="B182" s="68" t="s">
        <v>143</v>
      </c>
      <c r="C182" s="69">
        <v>46033.0</v>
      </c>
      <c r="D182" s="70" t="s">
        <v>75</v>
      </c>
      <c r="E182" s="71">
        <f t="array" ref="E182">XLOOKUP($D:$D,LISTA_SERVICIOS,LISTA_PRECIOS,0)</f>
        <v>800</v>
      </c>
      <c r="F182" s="72">
        <v>0.0</v>
      </c>
      <c r="G182" s="73">
        <v>0.0</v>
      </c>
      <c r="H182" s="74">
        <v>0.0</v>
      </c>
      <c r="I182" s="70" t="s">
        <v>46</v>
      </c>
      <c r="J182" s="74">
        <f t="shared" si="1"/>
        <v>800</v>
      </c>
      <c r="K182" s="70" t="s">
        <v>46</v>
      </c>
      <c r="L182" s="71">
        <f t="shared" si="2"/>
        <v>800</v>
      </c>
      <c r="M182" s="76" t="str">
        <f t="shared" si="3"/>
        <v>enero</v>
      </c>
      <c r="N182" s="76">
        <f t="shared" si="4"/>
        <v>2026</v>
      </c>
    </row>
    <row r="183" ht="22.5" customHeight="1">
      <c r="A183" s="67" t="str">
        <f t="array" ref="A183">XLOOKUP(B183,SERVICIOS!B:B,SERVICIOS!A:A,"")</f>
        <v>S02</v>
      </c>
      <c r="B183" s="68" t="s">
        <v>143</v>
      </c>
      <c r="C183" s="69">
        <v>46035.0</v>
      </c>
      <c r="D183" s="70" t="s">
        <v>53</v>
      </c>
      <c r="E183" s="71">
        <f t="array" ref="E183">XLOOKUP($D:$D,LISTA_SERVICIOS,LISTA_PRECIOS,0)</f>
        <v>650</v>
      </c>
      <c r="F183" s="72">
        <v>0.0</v>
      </c>
      <c r="G183" s="73">
        <v>0.0</v>
      </c>
      <c r="H183" s="74">
        <v>300.0</v>
      </c>
      <c r="I183" s="70" t="s">
        <v>46</v>
      </c>
      <c r="J183" s="74">
        <f t="shared" si="1"/>
        <v>350</v>
      </c>
      <c r="K183" s="70" t="s">
        <v>56</v>
      </c>
      <c r="L183" s="71">
        <f t="shared" si="2"/>
        <v>650</v>
      </c>
      <c r="M183" s="76" t="str">
        <f t="shared" si="3"/>
        <v>enero</v>
      </c>
      <c r="N183" s="76">
        <f t="shared" si="4"/>
        <v>2026</v>
      </c>
    </row>
    <row r="184" ht="22.5" customHeight="1">
      <c r="A184" s="67" t="str">
        <f t="array" ref="A184">XLOOKUP(B184,SERVICIOS!B:B,SERVICIOS!A:A,"")</f>
        <v>S02</v>
      </c>
      <c r="B184" s="68" t="s">
        <v>143</v>
      </c>
      <c r="C184" s="69">
        <v>46039.0</v>
      </c>
      <c r="D184" s="70" t="s">
        <v>78</v>
      </c>
      <c r="E184" s="71">
        <f t="array" ref="E184">XLOOKUP($D:$D,LISTA_SERVICIOS,LISTA_PRECIOS,0)</f>
        <v>1000</v>
      </c>
      <c r="F184" s="72">
        <v>0.0</v>
      </c>
      <c r="G184" s="78">
        <v>0.0</v>
      </c>
      <c r="H184" s="74">
        <v>500.0</v>
      </c>
      <c r="I184" s="70" t="s">
        <v>56</v>
      </c>
      <c r="J184" s="74">
        <v>500.0</v>
      </c>
      <c r="K184" s="70" t="s">
        <v>46</v>
      </c>
      <c r="L184" s="71">
        <f t="shared" si="2"/>
        <v>1000</v>
      </c>
      <c r="M184" s="76" t="str">
        <f t="shared" si="3"/>
        <v>enero</v>
      </c>
      <c r="N184" s="76">
        <f t="shared" si="4"/>
        <v>2026</v>
      </c>
    </row>
    <row r="185" ht="22.5" customHeight="1">
      <c r="A185" s="67" t="str">
        <f t="array" ref="A185">XLOOKUP(B185,SERVICIOS!B:B,SERVICIOS!A:A,"")</f>
        <v>S02</v>
      </c>
      <c r="B185" s="68" t="s">
        <v>143</v>
      </c>
      <c r="C185" s="69">
        <v>46039.0</v>
      </c>
      <c r="D185" s="70" t="s">
        <v>63</v>
      </c>
      <c r="E185" s="71">
        <f t="array" ref="E185">XLOOKUP($D:$D,LISTA_SERVICIOS,LISTA_PRECIOS,0)</f>
        <v>800</v>
      </c>
      <c r="F185" s="72">
        <v>0.0</v>
      </c>
      <c r="G185" s="73">
        <v>0.0</v>
      </c>
      <c r="H185" s="74">
        <v>250.0</v>
      </c>
      <c r="I185" s="70" t="s">
        <v>46</v>
      </c>
      <c r="J185" s="74">
        <f t="shared" ref="J185:J282" si="5">E185+F185-G185-H185</f>
        <v>550</v>
      </c>
      <c r="K185" s="70" t="s">
        <v>46</v>
      </c>
      <c r="L185" s="71">
        <f t="shared" si="2"/>
        <v>800</v>
      </c>
      <c r="M185" s="76" t="str">
        <f t="shared" si="3"/>
        <v>enero</v>
      </c>
      <c r="N185" s="76">
        <f t="shared" si="4"/>
        <v>2026</v>
      </c>
    </row>
    <row r="186" ht="22.5" customHeight="1">
      <c r="A186" s="67" t="str">
        <f t="array" ref="A186">XLOOKUP(B186,SERVICIOS!B:B,SERVICIOS!A:A,"")</f>
        <v>S02</v>
      </c>
      <c r="B186" s="68" t="s">
        <v>143</v>
      </c>
      <c r="C186" s="69">
        <v>46039.0</v>
      </c>
      <c r="D186" s="70" t="s">
        <v>68</v>
      </c>
      <c r="E186" s="71">
        <f t="array" ref="E186">XLOOKUP($D:$D,LISTA_SERVICIOS,LISTA_PRECIOS,0)</f>
        <v>800</v>
      </c>
      <c r="F186" s="72">
        <v>0.0</v>
      </c>
      <c r="G186" s="73">
        <v>0.0</v>
      </c>
      <c r="H186" s="74">
        <v>250.0</v>
      </c>
      <c r="I186" s="70" t="s">
        <v>46</v>
      </c>
      <c r="J186" s="74">
        <f t="shared" si="5"/>
        <v>550</v>
      </c>
      <c r="K186" s="70" t="s">
        <v>46</v>
      </c>
      <c r="L186" s="71">
        <f t="shared" si="2"/>
        <v>800</v>
      </c>
      <c r="M186" s="76" t="str">
        <f t="shared" si="3"/>
        <v>enero</v>
      </c>
      <c r="N186" s="76">
        <f t="shared" si="4"/>
        <v>2026</v>
      </c>
    </row>
    <row r="187" ht="22.5" customHeight="1">
      <c r="A187" s="67" t="str">
        <f t="array" ref="A187">XLOOKUP(B187,SERVICIOS!B:B,SERVICIOS!A:A,"")</f>
        <v>S02</v>
      </c>
      <c r="B187" s="68" t="s">
        <v>143</v>
      </c>
      <c r="C187" s="69">
        <v>46039.0</v>
      </c>
      <c r="D187" s="70" t="s">
        <v>48</v>
      </c>
      <c r="E187" s="71">
        <f t="array" ref="E187">XLOOKUP($D:$D,LISTA_SERVICIOS,LISTA_PRECIOS,0)</f>
        <v>650</v>
      </c>
      <c r="F187" s="72">
        <v>0.0</v>
      </c>
      <c r="G187" s="73">
        <v>0.0</v>
      </c>
      <c r="H187" s="74">
        <v>0.0</v>
      </c>
      <c r="I187" s="75"/>
      <c r="J187" s="74">
        <f t="shared" si="5"/>
        <v>650</v>
      </c>
      <c r="K187" s="70" t="s">
        <v>46</v>
      </c>
      <c r="L187" s="71">
        <f t="shared" si="2"/>
        <v>650</v>
      </c>
      <c r="M187" s="76" t="str">
        <f t="shared" si="3"/>
        <v>enero</v>
      </c>
      <c r="N187" s="76">
        <f t="shared" si="4"/>
        <v>2026</v>
      </c>
    </row>
    <row r="188" ht="22.5" customHeight="1">
      <c r="A188" s="67" t="str">
        <f t="array" ref="A188">XLOOKUP(B188,SERVICIOS!B:B,SERVICIOS!A:A,"")</f>
        <v>S02</v>
      </c>
      <c r="B188" s="68" t="s">
        <v>143</v>
      </c>
      <c r="C188" s="69">
        <v>46039.0</v>
      </c>
      <c r="D188" s="70" t="s">
        <v>53</v>
      </c>
      <c r="E188" s="71">
        <f t="array" ref="E188">XLOOKUP($D:$D,LISTA_SERVICIOS,LISTA_PRECIOS,0)</f>
        <v>650</v>
      </c>
      <c r="F188" s="72">
        <v>0.0</v>
      </c>
      <c r="G188" s="73">
        <v>0.0</v>
      </c>
      <c r="H188" s="74">
        <v>250.0</v>
      </c>
      <c r="I188" s="70" t="s">
        <v>46</v>
      </c>
      <c r="J188" s="74">
        <f t="shared" si="5"/>
        <v>400</v>
      </c>
      <c r="K188" s="70" t="s">
        <v>46</v>
      </c>
      <c r="L188" s="71">
        <f t="shared" si="2"/>
        <v>650</v>
      </c>
      <c r="M188" s="76" t="str">
        <f t="shared" si="3"/>
        <v>enero</v>
      </c>
      <c r="N188" s="76">
        <f t="shared" si="4"/>
        <v>2026</v>
      </c>
    </row>
    <row r="189" ht="22.5" customHeight="1">
      <c r="A189" s="67" t="str">
        <f t="array" ref="A189">XLOOKUP(B189,SERVICIOS!B:B,SERVICIOS!A:A,"")</f>
        <v>S02</v>
      </c>
      <c r="B189" s="68" t="s">
        <v>143</v>
      </c>
      <c r="C189" s="69">
        <v>46039.0</v>
      </c>
      <c r="D189" s="70" t="s">
        <v>38</v>
      </c>
      <c r="E189" s="71">
        <f t="array" ref="E189">XLOOKUP($D:$D,LISTA_SERVICIOS,LISTA_PRECIOS,0)</f>
        <v>600</v>
      </c>
      <c r="F189" s="72">
        <v>0.0</v>
      </c>
      <c r="G189" s="73">
        <v>0.0</v>
      </c>
      <c r="H189" s="74">
        <v>0.0</v>
      </c>
      <c r="I189" s="75"/>
      <c r="J189" s="74">
        <f t="shared" si="5"/>
        <v>600</v>
      </c>
      <c r="K189" s="70" t="s">
        <v>46</v>
      </c>
      <c r="L189" s="71">
        <f t="shared" si="2"/>
        <v>600</v>
      </c>
      <c r="M189" s="76" t="str">
        <f t="shared" si="3"/>
        <v>enero</v>
      </c>
      <c r="N189" s="76">
        <f t="shared" si="4"/>
        <v>2026</v>
      </c>
    </row>
    <row r="190" ht="22.5" customHeight="1">
      <c r="A190" s="67" t="str">
        <f t="array" ref="A190">XLOOKUP(B190,SERVICIOS!B:B,SERVICIOS!A:A,"")</f>
        <v>S01</v>
      </c>
      <c r="B190" s="68" t="s">
        <v>140</v>
      </c>
      <c r="C190" s="69">
        <v>46039.0</v>
      </c>
      <c r="D190" s="70" t="s">
        <v>141</v>
      </c>
      <c r="E190" s="71">
        <f t="array" ref="E190">XLOOKUP($D:$D,LISTA_SERVICIOS,LISTA_PRECIOS,0)</f>
        <v>2200</v>
      </c>
      <c r="F190" s="72">
        <v>0.0</v>
      </c>
      <c r="G190" s="73">
        <v>500.0</v>
      </c>
      <c r="H190" s="74">
        <v>0.0</v>
      </c>
      <c r="I190" s="75"/>
      <c r="J190" s="74">
        <f t="shared" si="5"/>
        <v>1700</v>
      </c>
      <c r="K190" s="70" t="s">
        <v>46</v>
      </c>
      <c r="L190" s="71">
        <f t="shared" si="2"/>
        <v>1700</v>
      </c>
      <c r="M190" s="76" t="str">
        <f t="shared" si="3"/>
        <v>enero</v>
      </c>
      <c r="N190" s="76">
        <f t="shared" si="4"/>
        <v>2026</v>
      </c>
    </row>
    <row r="191" ht="22.5" customHeight="1">
      <c r="A191" s="67" t="str">
        <f t="array" ref="A191">XLOOKUP(B191,SERVICIOS!B:B,SERVICIOS!A:A,"")</f>
        <v>S03</v>
      </c>
      <c r="B191" s="68" t="s">
        <v>142</v>
      </c>
      <c r="C191" s="69">
        <v>46039.0</v>
      </c>
      <c r="D191" s="70" t="s">
        <v>54</v>
      </c>
      <c r="E191" s="71">
        <f t="array" ref="E191">XLOOKUP($D:$D,LISTA_SERVICIOS,LISTA_PRECIOS,0)</f>
        <v>4000</v>
      </c>
      <c r="F191" s="72">
        <v>0.0</v>
      </c>
      <c r="G191" s="73">
        <v>0.0</v>
      </c>
      <c r="H191" s="74">
        <v>1000.0</v>
      </c>
      <c r="I191" s="70" t="s">
        <v>56</v>
      </c>
      <c r="J191" s="74">
        <f t="shared" si="5"/>
        <v>3000</v>
      </c>
      <c r="K191" s="70" t="s">
        <v>51</v>
      </c>
      <c r="L191" s="71">
        <f t="shared" si="2"/>
        <v>4000</v>
      </c>
      <c r="M191" s="76" t="str">
        <f t="shared" si="3"/>
        <v>enero</v>
      </c>
      <c r="N191" s="76">
        <f t="shared" si="4"/>
        <v>2026</v>
      </c>
    </row>
    <row r="192" ht="22.5" customHeight="1">
      <c r="A192" s="67" t="str">
        <f t="array" ref="A192">XLOOKUP(B192,SERVICIOS!B:B,SERVICIOS!A:A,"")</f>
        <v>S03</v>
      </c>
      <c r="B192" s="68" t="s">
        <v>142</v>
      </c>
      <c r="C192" s="69">
        <v>46039.0</v>
      </c>
      <c r="D192" s="70" t="s">
        <v>64</v>
      </c>
      <c r="E192" s="71">
        <f t="array" ref="E192">XLOOKUP($D:$D,LISTA_SERVICIOS,LISTA_PRECIOS,0)</f>
        <v>5500</v>
      </c>
      <c r="F192" s="72">
        <v>0.0</v>
      </c>
      <c r="G192" s="73">
        <v>1000.0</v>
      </c>
      <c r="H192" s="74">
        <v>1000.0</v>
      </c>
      <c r="I192" s="70" t="s">
        <v>51</v>
      </c>
      <c r="J192" s="74">
        <f t="shared" si="5"/>
        <v>3500</v>
      </c>
      <c r="K192" s="70" t="s">
        <v>46</v>
      </c>
      <c r="L192" s="71">
        <f t="shared" si="2"/>
        <v>4500</v>
      </c>
      <c r="M192" s="76" t="str">
        <f t="shared" si="3"/>
        <v>enero</v>
      </c>
      <c r="N192" s="76">
        <f t="shared" si="4"/>
        <v>2026</v>
      </c>
    </row>
    <row r="193" ht="22.5" customHeight="1">
      <c r="A193" s="67" t="str">
        <f t="array" ref="A193">XLOOKUP(B193,SERVICIOS!B:B,SERVICIOS!A:A,"")</f>
        <v>S02</v>
      </c>
      <c r="B193" s="68" t="s">
        <v>143</v>
      </c>
      <c r="C193" s="69">
        <v>46040.0</v>
      </c>
      <c r="D193" s="70" t="s">
        <v>63</v>
      </c>
      <c r="E193" s="71">
        <f t="array" ref="E193">XLOOKUP($D:$D,LISTA_SERVICIOS,LISTA_PRECIOS,0)</f>
        <v>800</v>
      </c>
      <c r="F193" s="72">
        <v>0.0</v>
      </c>
      <c r="G193" s="73">
        <v>0.0</v>
      </c>
      <c r="H193" s="74">
        <v>250.0</v>
      </c>
      <c r="I193" s="70" t="s">
        <v>46</v>
      </c>
      <c r="J193" s="74">
        <f t="shared" si="5"/>
        <v>550</v>
      </c>
      <c r="K193" s="70" t="s">
        <v>46</v>
      </c>
      <c r="L193" s="71">
        <f t="shared" si="2"/>
        <v>800</v>
      </c>
      <c r="M193" s="76" t="str">
        <f t="shared" si="3"/>
        <v>enero</v>
      </c>
      <c r="N193" s="76">
        <f t="shared" si="4"/>
        <v>2026</v>
      </c>
    </row>
    <row r="194" ht="22.5" customHeight="1">
      <c r="A194" s="67" t="str">
        <f t="array" ref="A194">XLOOKUP(B194,SERVICIOS!B:B,SERVICIOS!A:A,"")</f>
        <v>S02</v>
      </c>
      <c r="B194" s="68" t="s">
        <v>143</v>
      </c>
      <c r="C194" s="69">
        <v>46040.0</v>
      </c>
      <c r="D194" s="70" t="s">
        <v>53</v>
      </c>
      <c r="E194" s="71">
        <f t="array" ref="E194">XLOOKUP($D:$D,LISTA_SERVICIOS,LISTA_PRECIOS,0)</f>
        <v>650</v>
      </c>
      <c r="F194" s="72">
        <v>0.0</v>
      </c>
      <c r="G194" s="73">
        <v>200.0</v>
      </c>
      <c r="H194" s="74">
        <v>0.0</v>
      </c>
      <c r="I194" s="75"/>
      <c r="J194" s="74">
        <f t="shared" si="5"/>
        <v>450</v>
      </c>
      <c r="K194" s="70" t="s">
        <v>46</v>
      </c>
      <c r="L194" s="71">
        <f t="shared" si="2"/>
        <v>450</v>
      </c>
      <c r="M194" s="76" t="str">
        <f t="shared" si="3"/>
        <v>enero</v>
      </c>
      <c r="N194" s="76">
        <f t="shared" si="4"/>
        <v>2026</v>
      </c>
    </row>
    <row r="195" ht="22.5" customHeight="1">
      <c r="A195" s="67" t="str">
        <f t="array" ref="A195">XLOOKUP(B195,SERVICIOS!B:B,SERVICIOS!A:A,"")</f>
        <v>S02</v>
      </c>
      <c r="B195" s="68" t="s">
        <v>143</v>
      </c>
      <c r="C195" s="69">
        <v>46040.0</v>
      </c>
      <c r="D195" s="70" t="s">
        <v>58</v>
      </c>
      <c r="E195" s="71">
        <f t="array" ref="E195">XLOOKUP($D:$D,LISTA_SERVICIOS,LISTA_PRECIOS,0)</f>
        <v>650</v>
      </c>
      <c r="F195" s="72">
        <v>0.0</v>
      </c>
      <c r="G195" s="73">
        <v>200.0</v>
      </c>
      <c r="H195" s="74">
        <v>0.0</v>
      </c>
      <c r="I195" s="75"/>
      <c r="J195" s="74">
        <f t="shared" si="5"/>
        <v>450</v>
      </c>
      <c r="K195" s="70" t="s">
        <v>46</v>
      </c>
      <c r="L195" s="71">
        <f t="shared" si="2"/>
        <v>450</v>
      </c>
      <c r="M195" s="76" t="str">
        <f t="shared" si="3"/>
        <v>enero</v>
      </c>
      <c r="N195" s="76">
        <f t="shared" si="4"/>
        <v>2026</v>
      </c>
    </row>
    <row r="196" ht="22.5" customHeight="1">
      <c r="A196" s="67" t="str">
        <f t="array" ref="A196">XLOOKUP(B196,SERVICIOS!B:B,SERVICIOS!A:A,"")</f>
        <v>S02</v>
      </c>
      <c r="B196" s="68" t="s">
        <v>143</v>
      </c>
      <c r="C196" s="69">
        <v>46040.0</v>
      </c>
      <c r="D196" s="70" t="s">
        <v>38</v>
      </c>
      <c r="E196" s="71">
        <f t="array" ref="E196">XLOOKUP($D:$D,LISTA_SERVICIOS,LISTA_PRECIOS,0)</f>
        <v>600</v>
      </c>
      <c r="F196" s="72">
        <v>0.0</v>
      </c>
      <c r="G196" s="73">
        <v>0.0</v>
      </c>
      <c r="H196" s="74">
        <v>180.0</v>
      </c>
      <c r="I196" s="70" t="s">
        <v>46</v>
      </c>
      <c r="J196" s="74">
        <f t="shared" si="5"/>
        <v>420</v>
      </c>
      <c r="K196" s="70" t="s">
        <v>46</v>
      </c>
      <c r="L196" s="71">
        <f t="shared" si="2"/>
        <v>600</v>
      </c>
      <c r="M196" s="76" t="str">
        <f t="shared" si="3"/>
        <v>enero</v>
      </c>
      <c r="N196" s="76">
        <f t="shared" si="4"/>
        <v>2026</v>
      </c>
    </row>
    <row r="197" ht="22.5" customHeight="1">
      <c r="A197" s="67" t="str">
        <f t="array" ref="A197">XLOOKUP(B197,SERVICIOS!B:B,SERVICIOS!A:A,"")</f>
        <v>S02</v>
      </c>
      <c r="B197" s="68" t="s">
        <v>143</v>
      </c>
      <c r="C197" s="69">
        <v>46043.0</v>
      </c>
      <c r="D197" s="70" t="s">
        <v>63</v>
      </c>
      <c r="E197" s="71">
        <f t="array" ref="E197">XLOOKUP($D:$D,LISTA_SERVICIOS,LISTA_PRECIOS,0)</f>
        <v>800</v>
      </c>
      <c r="F197" s="72">
        <v>0.0</v>
      </c>
      <c r="G197" s="73">
        <v>0.0</v>
      </c>
      <c r="H197" s="74">
        <v>800.0</v>
      </c>
      <c r="I197" s="70" t="s">
        <v>46</v>
      </c>
      <c r="J197" s="74">
        <f t="shared" si="5"/>
        <v>0</v>
      </c>
      <c r="K197" s="75"/>
      <c r="L197" s="71">
        <f t="shared" si="2"/>
        <v>800</v>
      </c>
      <c r="M197" s="76" t="str">
        <f t="shared" si="3"/>
        <v>enero</v>
      </c>
      <c r="N197" s="76">
        <f t="shared" si="4"/>
        <v>2026</v>
      </c>
    </row>
    <row r="198" ht="22.5" customHeight="1">
      <c r="A198" s="67" t="str">
        <f t="array" ref="A198">XLOOKUP(B198,SERVICIOS!B:B,SERVICIOS!A:A,"")</f>
        <v>S01</v>
      </c>
      <c r="B198" s="68" t="s">
        <v>140</v>
      </c>
      <c r="C198" s="69">
        <v>46046.0</v>
      </c>
      <c r="D198" s="70" t="s">
        <v>145</v>
      </c>
      <c r="E198" s="71">
        <f t="array" ref="E198">XLOOKUP($D:$D,LISTA_SERVICIOS,LISTA_PRECIOS,0)</f>
        <v>2600</v>
      </c>
      <c r="F198" s="72">
        <v>0.0</v>
      </c>
      <c r="G198" s="73">
        <v>200.0</v>
      </c>
      <c r="H198" s="74">
        <v>1100.0</v>
      </c>
      <c r="I198" s="70" t="s">
        <v>46</v>
      </c>
      <c r="J198" s="74">
        <f t="shared" si="5"/>
        <v>1300</v>
      </c>
      <c r="K198" s="70" t="s">
        <v>46</v>
      </c>
      <c r="L198" s="71">
        <f t="shared" si="2"/>
        <v>2400</v>
      </c>
      <c r="M198" s="76" t="str">
        <f t="shared" si="3"/>
        <v>enero</v>
      </c>
      <c r="N198" s="76">
        <f t="shared" si="4"/>
        <v>2026</v>
      </c>
    </row>
    <row r="199" ht="22.5" customHeight="1">
      <c r="A199" s="67" t="str">
        <f t="array" ref="A199">XLOOKUP(B199,SERVICIOS!B:B,SERVICIOS!A:A,"")</f>
        <v>S02</v>
      </c>
      <c r="B199" s="68" t="s">
        <v>143</v>
      </c>
      <c r="C199" s="69">
        <v>46046.0</v>
      </c>
      <c r="D199" s="70" t="s">
        <v>78</v>
      </c>
      <c r="E199" s="71">
        <f t="array" ref="E199">XLOOKUP($D:$D,LISTA_SERVICIOS,LISTA_PRECIOS,0)</f>
        <v>1000</v>
      </c>
      <c r="F199" s="72">
        <v>0.0</v>
      </c>
      <c r="G199" s="73">
        <v>0.0</v>
      </c>
      <c r="H199" s="74">
        <v>0.0</v>
      </c>
      <c r="I199" s="75"/>
      <c r="J199" s="74">
        <f t="shared" si="5"/>
        <v>1000</v>
      </c>
      <c r="K199" s="70" t="s">
        <v>46</v>
      </c>
      <c r="L199" s="71">
        <f t="shared" si="2"/>
        <v>1000</v>
      </c>
      <c r="M199" s="76" t="str">
        <f t="shared" si="3"/>
        <v>enero</v>
      </c>
      <c r="N199" s="76">
        <f t="shared" si="4"/>
        <v>2026</v>
      </c>
    </row>
    <row r="200" ht="22.5" customHeight="1">
      <c r="A200" s="67" t="str">
        <f t="array" ref="A200">XLOOKUP(B200,SERVICIOS!B:B,SERVICIOS!A:A,"")</f>
        <v>S02</v>
      </c>
      <c r="B200" s="68" t="s">
        <v>143</v>
      </c>
      <c r="C200" s="69">
        <v>46046.0</v>
      </c>
      <c r="D200" s="70" t="s">
        <v>75</v>
      </c>
      <c r="E200" s="71">
        <f t="array" ref="E200">XLOOKUP($D:$D,LISTA_SERVICIOS,LISTA_PRECIOS,0)</f>
        <v>800</v>
      </c>
      <c r="F200" s="72">
        <v>0.0</v>
      </c>
      <c r="G200" s="73">
        <v>0.0</v>
      </c>
      <c r="H200" s="74">
        <v>0.0</v>
      </c>
      <c r="I200" s="75"/>
      <c r="J200" s="74">
        <f t="shared" si="5"/>
        <v>800</v>
      </c>
      <c r="K200" s="70" t="s">
        <v>56</v>
      </c>
      <c r="L200" s="71">
        <f t="shared" si="2"/>
        <v>800</v>
      </c>
      <c r="M200" s="76" t="str">
        <f t="shared" si="3"/>
        <v>enero</v>
      </c>
      <c r="N200" s="76">
        <f t="shared" si="4"/>
        <v>2026</v>
      </c>
    </row>
    <row r="201" ht="22.5" customHeight="1">
      <c r="A201" s="67" t="str">
        <f t="array" ref="A201">XLOOKUP(B201,SERVICIOS!B:B,SERVICIOS!A:A,"")</f>
        <v>S01</v>
      </c>
      <c r="B201" s="68" t="s">
        <v>140</v>
      </c>
      <c r="C201" s="69">
        <v>46046.0</v>
      </c>
      <c r="D201" s="70" t="s">
        <v>141</v>
      </c>
      <c r="E201" s="71">
        <f t="array" ref="E201">XLOOKUP($D:$D,LISTA_SERVICIOS,LISTA_PRECIOS,0)</f>
        <v>2200</v>
      </c>
      <c r="F201" s="72">
        <v>0.0</v>
      </c>
      <c r="G201" s="73">
        <v>300.0</v>
      </c>
      <c r="H201" s="74">
        <v>570.0</v>
      </c>
      <c r="I201" s="70" t="s">
        <v>46</v>
      </c>
      <c r="J201" s="74">
        <f t="shared" si="5"/>
        <v>1330</v>
      </c>
      <c r="K201" s="70" t="s">
        <v>51</v>
      </c>
      <c r="L201" s="71">
        <f t="shared" si="2"/>
        <v>1900</v>
      </c>
      <c r="M201" s="76" t="str">
        <f t="shared" si="3"/>
        <v>enero</v>
      </c>
      <c r="N201" s="76">
        <f t="shared" si="4"/>
        <v>2026</v>
      </c>
    </row>
    <row r="202" ht="22.5" customHeight="1">
      <c r="A202" s="67" t="str">
        <f t="array" ref="A202">XLOOKUP(B202,SERVICIOS!B:B,SERVICIOS!A:A,"")</f>
        <v>S01</v>
      </c>
      <c r="B202" s="68" t="s">
        <v>140</v>
      </c>
      <c r="C202" s="69">
        <v>46046.0</v>
      </c>
      <c r="D202" s="70" t="s">
        <v>141</v>
      </c>
      <c r="E202" s="71">
        <f t="array" ref="E202">XLOOKUP($D:$D,LISTA_SERVICIOS,LISTA_PRECIOS,0)</f>
        <v>2200</v>
      </c>
      <c r="F202" s="72">
        <v>200.0</v>
      </c>
      <c r="G202" s="73">
        <v>0.0</v>
      </c>
      <c r="H202" s="74">
        <v>600.0</v>
      </c>
      <c r="I202" s="70" t="s">
        <v>46</v>
      </c>
      <c r="J202" s="74">
        <f t="shared" si="5"/>
        <v>1800</v>
      </c>
      <c r="K202" s="70" t="s">
        <v>46</v>
      </c>
      <c r="L202" s="71">
        <f t="shared" si="2"/>
        <v>2400</v>
      </c>
      <c r="M202" s="76" t="str">
        <f t="shared" si="3"/>
        <v>enero</v>
      </c>
      <c r="N202" s="76">
        <f t="shared" si="4"/>
        <v>2026</v>
      </c>
    </row>
    <row r="203" ht="22.5" customHeight="1">
      <c r="A203" s="67" t="str">
        <f t="array" ref="A203">XLOOKUP(B203,SERVICIOS!B:B,SERVICIOS!A:A,"")</f>
        <v>S02</v>
      </c>
      <c r="B203" s="68" t="s">
        <v>143</v>
      </c>
      <c r="C203" s="69">
        <v>46047.0</v>
      </c>
      <c r="D203" s="70" t="s">
        <v>38</v>
      </c>
      <c r="E203" s="71">
        <f t="array" ref="E203">XLOOKUP($D:$D,LISTA_SERVICIOS,LISTA_PRECIOS,0)</f>
        <v>600</v>
      </c>
      <c r="F203" s="72">
        <v>0.0</v>
      </c>
      <c r="G203" s="73">
        <v>0.0</v>
      </c>
      <c r="H203" s="74">
        <v>180.0</v>
      </c>
      <c r="I203" s="70" t="s">
        <v>46</v>
      </c>
      <c r="J203" s="74">
        <f t="shared" si="5"/>
        <v>420</v>
      </c>
      <c r="K203" s="70" t="s">
        <v>51</v>
      </c>
      <c r="L203" s="71">
        <f t="shared" si="2"/>
        <v>600</v>
      </c>
      <c r="M203" s="76" t="str">
        <f t="shared" si="3"/>
        <v>enero</v>
      </c>
      <c r="N203" s="76">
        <f t="shared" si="4"/>
        <v>2026</v>
      </c>
    </row>
    <row r="204" ht="22.5" customHeight="1">
      <c r="A204" s="67" t="str">
        <f t="array" ref="A204">XLOOKUP(B204,SERVICIOS!B:B,SERVICIOS!A:A,"")</f>
        <v>S01</v>
      </c>
      <c r="B204" s="68" t="s">
        <v>140</v>
      </c>
      <c r="C204" s="69">
        <v>46047.0</v>
      </c>
      <c r="D204" s="70" t="s">
        <v>145</v>
      </c>
      <c r="E204" s="71">
        <f t="array" ref="E204">XLOOKUP($D:$D,LISTA_SERVICIOS,LISTA_PRECIOS,0)</f>
        <v>2600</v>
      </c>
      <c r="F204" s="72">
        <v>0.0</v>
      </c>
      <c r="G204" s="73">
        <v>200.0</v>
      </c>
      <c r="H204" s="74">
        <v>0.0</v>
      </c>
      <c r="I204" s="75"/>
      <c r="J204" s="74">
        <f t="shared" si="5"/>
        <v>2400</v>
      </c>
      <c r="K204" s="70" t="s">
        <v>56</v>
      </c>
      <c r="L204" s="71">
        <f t="shared" si="2"/>
        <v>2400</v>
      </c>
      <c r="M204" s="76" t="str">
        <f t="shared" si="3"/>
        <v>enero</v>
      </c>
      <c r="N204" s="76">
        <f t="shared" si="4"/>
        <v>2026</v>
      </c>
    </row>
    <row r="205" ht="22.5" customHeight="1">
      <c r="A205" s="67" t="str">
        <f t="array" ref="A205">XLOOKUP(B205,SERVICIOS!B:B,SERVICIOS!A:A,"")</f>
        <v>S03</v>
      </c>
      <c r="B205" s="68" t="s">
        <v>142</v>
      </c>
      <c r="C205" s="69">
        <v>46051.0</v>
      </c>
      <c r="D205" s="70" t="s">
        <v>39</v>
      </c>
      <c r="E205" s="71">
        <f t="array" ref="E205">XLOOKUP($D:$D,LISTA_SERVICIOS,LISTA_PRECIOS,0)</f>
        <v>2800</v>
      </c>
      <c r="F205" s="72">
        <v>0.0</v>
      </c>
      <c r="G205" s="73">
        <v>1000.0</v>
      </c>
      <c r="H205" s="74">
        <v>200.0</v>
      </c>
      <c r="I205" s="70" t="s">
        <v>51</v>
      </c>
      <c r="J205" s="74">
        <f t="shared" si="5"/>
        <v>1600</v>
      </c>
      <c r="K205" s="70" t="s">
        <v>46</v>
      </c>
      <c r="L205" s="71">
        <f t="shared" si="2"/>
        <v>1800</v>
      </c>
      <c r="M205" s="76" t="str">
        <f t="shared" si="3"/>
        <v>enero</v>
      </c>
      <c r="N205" s="76">
        <f t="shared" si="4"/>
        <v>2026</v>
      </c>
    </row>
    <row r="206" ht="22.5" customHeight="1">
      <c r="A206" s="67" t="str">
        <f t="array" ref="A206">XLOOKUP(B206,SERVICIOS!B:B,SERVICIOS!A:A,"")</f>
        <v>S02</v>
      </c>
      <c r="B206" s="68" t="s">
        <v>143</v>
      </c>
      <c r="C206" s="69">
        <v>46053.0</v>
      </c>
      <c r="D206" s="70" t="s">
        <v>78</v>
      </c>
      <c r="E206" s="71">
        <f t="array" ref="E206">XLOOKUP($D:$D,LISTA_SERVICIOS,LISTA_PRECIOS,0)</f>
        <v>1000</v>
      </c>
      <c r="F206" s="72">
        <v>0.0</v>
      </c>
      <c r="G206" s="73">
        <v>0.0</v>
      </c>
      <c r="H206" s="74">
        <v>500.0</v>
      </c>
      <c r="I206" s="70" t="s">
        <v>46</v>
      </c>
      <c r="J206" s="74">
        <f t="shared" si="5"/>
        <v>500</v>
      </c>
      <c r="K206" s="70" t="s">
        <v>56</v>
      </c>
      <c r="L206" s="71">
        <f t="shared" si="2"/>
        <v>1000</v>
      </c>
      <c r="M206" s="76" t="str">
        <f t="shared" si="3"/>
        <v>enero</v>
      </c>
      <c r="N206" s="76">
        <f t="shared" si="4"/>
        <v>2026</v>
      </c>
    </row>
    <row r="207" ht="22.5" customHeight="1">
      <c r="A207" s="67" t="str">
        <f t="array" ref="A207">XLOOKUP(B207,SERVICIOS!B:B,SERVICIOS!A:A,"")</f>
        <v>S02</v>
      </c>
      <c r="B207" s="68" t="s">
        <v>143</v>
      </c>
      <c r="C207" s="69">
        <v>46053.0</v>
      </c>
      <c r="D207" s="70" t="s">
        <v>38</v>
      </c>
      <c r="E207" s="71">
        <f t="array" ref="E207">XLOOKUP($D:$D,LISTA_SERVICIOS,LISTA_PRECIOS,0)</f>
        <v>600</v>
      </c>
      <c r="F207" s="72">
        <v>0.0</v>
      </c>
      <c r="G207" s="73">
        <v>0.0</v>
      </c>
      <c r="H207" s="74">
        <v>0.0</v>
      </c>
      <c r="I207" s="75"/>
      <c r="J207" s="74">
        <f t="shared" si="5"/>
        <v>600</v>
      </c>
      <c r="K207" s="70" t="s">
        <v>56</v>
      </c>
      <c r="L207" s="71">
        <f t="shared" si="2"/>
        <v>600</v>
      </c>
      <c r="M207" s="76" t="str">
        <f t="shared" si="3"/>
        <v>enero</v>
      </c>
      <c r="N207" s="76">
        <f t="shared" si="4"/>
        <v>2026</v>
      </c>
    </row>
    <row r="208" ht="22.5" customHeight="1">
      <c r="A208" s="67" t="str">
        <f t="array" ref="A208">XLOOKUP(B208,SERVICIOS!B:B,SERVICIOS!A:A,"")</f>
        <v>S02</v>
      </c>
      <c r="B208" s="68" t="s">
        <v>143</v>
      </c>
      <c r="C208" s="69">
        <v>46053.0</v>
      </c>
      <c r="D208" s="70" t="s">
        <v>43</v>
      </c>
      <c r="E208" s="71">
        <f t="array" ref="E208">XLOOKUP($D:$D,LISTA_SERVICIOS,LISTA_PRECIOS,0)</f>
        <v>600</v>
      </c>
      <c r="F208" s="72">
        <v>0.0</v>
      </c>
      <c r="G208" s="73">
        <v>0.0</v>
      </c>
      <c r="H208" s="74">
        <v>200.0</v>
      </c>
      <c r="I208" s="70" t="s">
        <v>46</v>
      </c>
      <c r="J208" s="74">
        <f t="shared" si="5"/>
        <v>400</v>
      </c>
      <c r="K208" s="70" t="s">
        <v>46</v>
      </c>
      <c r="L208" s="71">
        <f t="shared" si="2"/>
        <v>600</v>
      </c>
      <c r="M208" s="76" t="str">
        <f t="shared" si="3"/>
        <v>enero</v>
      </c>
      <c r="N208" s="76">
        <f t="shared" si="4"/>
        <v>2026</v>
      </c>
    </row>
    <row r="209" ht="22.5" customHeight="1">
      <c r="A209" s="67" t="str">
        <f t="array" ref="A209">XLOOKUP(B209,SERVICIOS!B:B,SERVICIOS!A:A,"")</f>
        <v>S02</v>
      </c>
      <c r="B209" s="68" t="s">
        <v>143</v>
      </c>
      <c r="C209" s="69">
        <v>46053.0</v>
      </c>
      <c r="D209" s="70" t="s">
        <v>58</v>
      </c>
      <c r="E209" s="71">
        <f t="array" ref="E209">XLOOKUP($D:$D,LISTA_SERVICIOS,LISTA_PRECIOS,0)</f>
        <v>650</v>
      </c>
      <c r="F209" s="72">
        <v>0.0</v>
      </c>
      <c r="G209" s="73">
        <v>0.0</v>
      </c>
      <c r="H209" s="74"/>
      <c r="I209" s="75"/>
      <c r="J209" s="74">
        <f t="shared" si="5"/>
        <v>650</v>
      </c>
      <c r="K209" s="70" t="s">
        <v>56</v>
      </c>
      <c r="L209" s="71">
        <f t="shared" si="2"/>
        <v>650</v>
      </c>
      <c r="M209" s="76" t="str">
        <f t="shared" si="3"/>
        <v>enero</v>
      </c>
      <c r="N209" s="76">
        <f t="shared" si="4"/>
        <v>2026</v>
      </c>
    </row>
    <row r="210" ht="22.5" customHeight="1">
      <c r="A210" s="67" t="str">
        <f t="array" ref="A210">XLOOKUP(B210,SERVICIOS!B:B,SERVICIOS!A:A,"")</f>
        <v>S02</v>
      </c>
      <c r="B210" s="68" t="s">
        <v>143</v>
      </c>
      <c r="C210" s="69">
        <v>46053.0</v>
      </c>
      <c r="D210" s="70" t="s">
        <v>72</v>
      </c>
      <c r="E210" s="71">
        <f t="array" ref="E210">XLOOKUP($D:$D,LISTA_SERVICIOS,LISTA_PRECIOS,0)</f>
        <v>800</v>
      </c>
      <c r="F210" s="72">
        <v>0.0</v>
      </c>
      <c r="G210" s="73">
        <v>0.0</v>
      </c>
      <c r="H210" s="74">
        <v>300.0</v>
      </c>
      <c r="I210" s="70" t="s">
        <v>46</v>
      </c>
      <c r="J210" s="74">
        <f t="shared" si="5"/>
        <v>500</v>
      </c>
      <c r="K210" s="70" t="s">
        <v>51</v>
      </c>
      <c r="L210" s="71">
        <f t="shared" si="2"/>
        <v>800</v>
      </c>
      <c r="M210" s="76" t="str">
        <f t="shared" si="3"/>
        <v>enero</v>
      </c>
      <c r="N210" s="76">
        <f t="shared" si="4"/>
        <v>2026</v>
      </c>
    </row>
    <row r="211" ht="22.5" customHeight="1">
      <c r="A211" s="67" t="str">
        <f t="array" ref="A211">XLOOKUP(B211,SERVICIOS!B:B,SERVICIOS!A:A,"")</f>
        <v>S03</v>
      </c>
      <c r="B211" s="68" t="s">
        <v>142</v>
      </c>
      <c r="C211" s="69">
        <v>46053.0</v>
      </c>
      <c r="D211" s="70" t="s">
        <v>54</v>
      </c>
      <c r="E211" s="71">
        <f t="array" ref="E211">XLOOKUP($D:$D,LISTA_SERVICIOS,LISTA_PRECIOS,0)</f>
        <v>4000</v>
      </c>
      <c r="F211" s="72">
        <v>0.0</v>
      </c>
      <c r="G211" s="73">
        <v>100.0</v>
      </c>
      <c r="H211" s="74">
        <v>2500.0</v>
      </c>
      <c r="I211" s="70" t="s">
        <v>46</v>
      </c>
      <c r="J211" s="74">
        <f t="shared" si="5"/>
        <v>1400</v>
      </c>
      <c r="K211" s="70" t="s">
        <v>46</v>
      </c>
      <c r="L211" s="71">
        <f t="shared" si="2"/>
        <v>3900</v>
      </c>
      <c r="M211" s="76" t="str">
        <f t="shared" si="3"/>
        <v>enero</v>
      </c>
      <c r="N211" s="76">
        <f t="shared" si="4"/>
        <v>2026</v>
      </c>
    </row>
    <row r="212" ht="22.5" customHeight="1">
      <c r="A212" s="67" t="str">
        <f t="array" ref="A212">XLOOKUP(B212,SERVICIOS!B:B,SERVICIOS!A:A,"")</f>
        <v>S01</v>
      </c>
      <c r="B212" s="68" t="s">
        <v>140</v>
      </c>
      <c r="C212" s="69">
        <v>46053.0</v>
      </c>
      <c r="D212" s="70" t="s">
        <v>141</v>
      </c>
      <c r="E212" s="71">
        <f t="array" ref="E212">XLOOKUP($D:$D,LISTA_SERVICIOS,LISTA_PRECIOS,0)</f>
        <v>2200</v>
      </c>
      <c r="F212" s="72">
        <v>0.0</v>
      </c>
      <c r="G212" s="73">
        <v>200.0</v>
      </c>
      <c r="H212" s="74">
        <v>0.0</v>
      </c>
      <c r="I212" s="75"/>
      <c r="J212" s="74">
        <f t="shared" si="5"/>
        <v>2000</v>
      </c>
      <c r="K212" s="70" t="s">
        <v>46</v>
      </c>
      <c r="L212" s="71">
        <f t="shared" si="2"/>
        <v>2000</v>
      </c>
      <c r="M212" s="76" t="str">
        <f t="shared" si="3"/>
        <v>enero</v>
      </c>
      <c r="N212" s="76">
        <f t="shared" si="4"/>
        <v>2026</v>
      </c>
    </row>
    <row r="213" ht="22.5" customHeight="1">
      <c r="A213" s="67" t="str">
        <f t="array" ref="A213">XLOOKUP(B213,SERVICIOS!B:B,SERVICIOS!A:A,"")</f>
        <v>S01</v>
      </c>
      <c r="B213" s="68" t="s">
        <v>140</v>
      </c>
      <c r="C213" s="69">
        <v>46053.0</v>
      </c>
      <c r="D213" s="70" t="s">
        <v>141</v>
      </c>
      <c r="E213" s="71">
        <f t="array" ref="E213">XLOOKUP($D:$D,LISTA_SERVICIOS,LISTA_PRECIOS,0)</f>
        <v>2200</v>
      </c>
      <c r="F213" s="72">
        <v>0.0</v>
      </c>
      <c r="G213" s="73">
        <v>0.0</v>
      </c>
      <c r="H213" s="74">
        <v>700.0</v>
      </c>
      <c r="I213" s="70" t="s">
        <v>46</v>
      </c>
      <c r="J213" s="74">
        <f t="shared" si="5"/>
        <v>1500</v>
      </c>
      <c r="K213" s="70" t="s">
        <v>46</v>
      </c>
      <c r="L213" s="71">
        <f t="shared" si="2"/>
        <v>2200</v>
      </c>
      <c r="M213" s="76" t="str">
        <f t="shared" si="3"/>
        <v>enero</v>
      </c>
      <c r="N213" s="76">
        <f t="shared" si="4"/>
        <v>2026</v>
      </c>
    </row>
    <row r="214" ht="22.5" customHeight="1">
      <c r="A214" s="67" t="str">
        <f t="array" ref="A214">XLOOKUP(B214,SERVICIOS!B:B,SERVICIOS!A:A,"")</f>
        <v>S03</v>
      </c>
      <c r="B214" s="68" t="s">
        <v>142</v>
      </c>
      <c r="C214" s="69">
        <v>46053.0</v>
      </c>
      <c r="D214" s="70" t="s">
        <v>39</v>
      </c>
      <c r="E214" s="71">
        <f t="array" ref="E214">XLOOKUP($D:$D,LISTA_SERVICIOS,LISTA_PRECIOS,0)</f>
        <v>2800</v>
      </c>
      <c r="F214" s="72">
        <v>0.0</v>
      </c>
      <c r="G214" s="73">
        <v>1000.0</v>
      </c>
      <c r="H214" s="74">
        <v>0.0</v>
      </c>
      <c r="I214" s="75"/>
      <c r="J214" s="74">
        <f t="shared" si="5"/>
        <v>1800</v>
      </c>
      <c r="K214" s="70" t="s">
        <v>56</v>
      </c>
      <c r="L214" s="71">
        <f t="shared" si="2"/>
        <v>1800</v>
      </c>
      <c r="M214" s="76" t="str">
        <f t="shared" si="3"/>
        <v>enero</v>
      </c>
      <c r="N214" s="76">
        <f t="shared" si="4"/>
        <v>2026</v>
      </c>
    </row>
    <row r="215" ht="22.5" customHeight="1">
      <c r="A215" s="67" t="str">
        <f t="array" ref="A215">XLOOKUP(B215,SERVICIOS!B:B,SERVICIOS!A:A,"")</f>
        <v>S02</v>
      </c>
      <c r="B215" s="68" t="s">
        <v>143</v>
      </c>
      <c r="C215" s="69">
        <v>46054.0</v>
      </c>
      <c r="D215" s="70" t="s">
        <v>58</v>
      </c>
      <c r="E215" s="71">
        <f t="array" ref="E215">XLOOKUP($D:$D,LISTA_SERVICIOS,LISTA_PRECIOS,0)</f>
        <v>650</v>
      </c>
      <c r="F215" s="72">
        <v>0.0</v>
      </c>
      <c r="G215" s="73">
        <v>200.0</v>
      </c>
      <c r="H215" s="74">
        <v>0.0</v>
      </c>
      <c r="I215" s="75"/>
      <c r="J215" s="74">
        <f t="shared" si="5"/>
        <v>450</v>
      </c>
      <c r="K215" s="70" t="s">
        <v>56</v>
      </c>
      <c r="L215" s="71">
        <f t="shared" si="2"/>
        <v>450</v>
      </c>
      <c r="M215" s="76" t="str">
        <f t="shared" si="3"/>
        <v>febrero</v>
      </c>
      <c r="N215" s="76">
        <f t="shared" si="4"/>
        <v>2026</v>
      </c>
    </row>
    <row r="216" ht="22.5" customHeight="1">
      <c r="A216" s="67" t="str">
        <f t="array" ref="A216">XLOOKUP(B216,SERVICIOS!B:B,SERVICIOS!A:A,"")</f>
        <v>S02</v>
      </c>
      <c r="B216" s="68" t="s">
        <v>143</v>
      </c>
      <c r="C216" s="69">
        <v>46054.0</v>
      </c>
      <c r="D216" s="70" t="s">
        <v>75</v>
      </c>
      <c r="E216" s="71">
        <f t="array" ref="E216">XLOOKUP($D:$D,LISTA_SERVICIOS,LISTA_PRECIOS,0)</f>
        <v>800</v>
      </c>
      <c r="F216" s="72">
        <v>0.0</v>
      </c>
      <c r="G216" s="73">
        <v>0.0</v>
      </c>
      <c r="H216" s="74">
        <v>0.0</v>
      </c>
      <c r="I216" s="75"/>
      <c r="J216" s="74">
        <f t="shared" si="5"/>
        <v>800</v>
      </c>
      <c r="K216" s="70" t="s">
        <v>56</v>
      </c>
      <c r="L216" s="71">
        <f t="shared" si="2"/>
        <v>800</v>
      </c>
      <c r="M216" s="76" t="str">
        <f t="shared" si="3"/>
        <v>febrero</v>
      </c>
      <c r="N216" s="76">
        <f t="shared" si="4"/>
        <v>2026</v>
      </c>
    </row>
    <row r="217" ht="22.5" customHeight="1">
      <c r="A217" s="67" t="str">
        <f t="array" ref="A217">XLOOKUP(B217,SERVICIOS!B:B,SERVICIOS!A:A,"")</f>
        <v>S03</v>
      </c>
      <c r="B217" s="68" t="s">
        <v>142</v>
      </c>
      <c r="C217" s="69">
        <v>46054.0</v>
      </c>
      <c r="D217" s="70" t="s">
        <v>59</v>
      </c>
      <c r="E217" s="71">
        <f t="array" ref="E217">XLOOKUP($D:$D,LISTA_SERVICIOS,LISTA_PRECIOS,0)</f>
        <v>4700</v>
      </c>
      <c r="F217" s="72">
        <v>0.0</v>
      </c>
      <c r="G217" s="73">
        <v>1000.0</v>
      </c>
      <c r="H217" s="74">
        <v>3700.0</v>
      </c>
      <c r="I217" s="70" t="s">
        <v>46</v>
      </c>
      <c r="J217" s="74">
        <f t="shared" si="5"/>
        <v>0</v>
      </c>
      <c r="K217" s="75"/>
      <c r="L217" s="71">
        <f t="shared" si="2"/>
        <v>3700</v>
      </c>
      <c r="M217" s="76" t="str">
        <f t="shared" si="3"/>
        <v>febrero</v>
      </c>
      <c r="N217" s="76">
        <f t="shared" si="4"/>
        <v>2026</v>
      </c>
    </row>
    <row r="218" ht="22.5" customHeight="1">
      <c r="A218" s="67" t="str">
        <f t="array" ref="A218">XLOOKUP(B218,SERVICIOS!B:B,SERVICIOS!A:A,"")</f>
        <v>S04</v>
      </c>
      <c r="B218" s="68" t="s">
        <v>148</v>
      </c>
      <c r="C218" s="69">
        <v>46054.0</v>
      </c>
      <c r="D218" s="70" t="s">
        <v>153</v>
      </c>
      <c r="E218" s="71">
        <f t="array" ref="E218">XLOOKUP($D:$D,LISTA_SERVICIOS,LISTA_PRECIOS,0)</f>
        <v>4000</v>
      </c>
      <c r="F218" s="72">
        <v>0.0</v>
      </c>
      <c r="G218" s="73">
        <v>0.0</v>
      </c>
      <c r="H218" s="74">
        <v>4000.0</v>
      </c>
      <c r="I218" s="70" t="s">
        <v>46</v>
      </c>
      <c r="J218" s="74">
        <f t="shared" si="5"/>
        <v>0</v>
      </c>
      <c r="K218" s="75"/>
      <c r="L218" s="71">
        <f t="shared" si="2"/>
        <v>4000</v>
      </c>
      <c r="M218" s="76" t="str">
        <f t="shared" si="3"/>
        <v>febrero</v>
      </c>
      <c r="N218" s="76">
        <f t="shared" si="4"/>
        <v>2026</v>
      </c>
    </row>
    <row r="219" ht="22.5" customHeight="1">
      <c r="A219" s="67" t="str">
        <f t="array" ref="A219">XLOOKUP(B219,SERVICIOS!B:B,SERVICIOS!A:A,"")</f>
        <v>S01</v>
      </c>
      <c r="B219" s="68" t="s">
        <v>140</v>
      </c>
      <c r="C219" s="69">
        <v>46054.0</v>
      </c>
      <c r="D219" s="70" t="s">
        <v>146</v>
      </c>
      <c r="E219" s="71">
        <f t="array" ref="E219">XLOOKUP($D:$D,LISTA_SERVICIOS,LISTA_PRECIOS,0)</f>
        <v>3000</v>
      </c>
      <c r="F219" s="72">
        <v>0.0</v>
      </c>
      <c r="G219" s="73">
        <v>500.0</v>
      </c>
      <c r="H219" s="74">
        <v>0.0</v>
      </c>
      <c r="I219" s="75"/>
      <c r="J219" s="74">
        <f t="shared" si="5"/>
        <v>2500</v>
      </c>
      <c r="K219" s="70" t="s">
        <v>56</v>
      </c>
      <c r="L219" s="71">
        <f t="shared" si="2"/>
        <v>2500</v>
      </c>
      <c r="M219" s="76" t="str">
        <f t="shared" si="3"/>
        <v>febrero</v>
      </c>
      <c r="N219" s="76">
        <f t="shared" si="4"/>
        <v>2026</v>
      </c>
    </row>
    <row r="220" ht="22.5" customHeight="1">
      <c r="A220" s="67" t="str">
        <f t="array" ref="A220">XLOOKUP(B220,SERVICIOS!B:B,SERVICIOS!A:A,"")</f>
        <v>S01</v>
      </c>
      <c r="B220" s="68" t="s">
        <v>140</v>
      </c>
      <c r="C220" s="69">
        <v>46054.0</v>
      </c>
      <c r="D220" s="70" t="s">
        <v>141</v>
      </c>
      <c r="E220" s="71">
        <f t="array" ref="E220">XLOOKUP($D:$D,LISTA_SERVICIOS,LISTA_PRECIOS,0)</f>
        <v>2200</v>
      </c>
      <c r="F220" s="72">
        <v>0.0</v>
      </c>
      <c r="G220" s="73">
        <v>700.0</v>
      </c>
      <c r="H220" s="74">
        <v>0.0</v>
      </c>
      <c r="I220" s="75"/>
      <c r="J220" s="74">
        <f t="shared" si="5"/>
        <v>1500</v>
      </c>
      <c r="K220" s="70" t="s">
        <v>56</v>
      </c>
      <c r="L220" s="71">
        <f t="shared" si="2"/>
        <v>1500</v>
      </c>
      <c r="M220" s="76" t="str">
        <f t="shared" si="3"/>
        <v>febrero</v>
      </c>
      <c r="N220" s="76">
        <f t="shared" si="4"/>
        <v>2026</v>
      </c>
    </row>
    <row r="221" ht="22.5" customHeight="1">
      <c r="A221" s="67" t="str">
        <f t="array" ref="A221">XLOOKUP(B221,SERVICIOS!B:B,SERVICIOS!A:A,"")</f>
        <v>S03</v>
      </c>
      <c r="B221" s="68" t="s">
        <v>142</v>
      </c>
      <c r="C221" s="69">
        <v>46054.0</v>
      </c>
      <c r="D221" s="70" t="s">
        <v>39</v>
      </c>
      <c r="E221" s="71">
        <f t="array" ref="E221">XLOOKUP($D:$D,LISTA_SERVICIOS,LISTA_PRECIOS,0)</f>
        <v>2800</v>
      </c>
      <c r="F221" s="72">
        <v>140.0</v>
      </c>
      <c r="G221" s="73">
        <v>300.0</v>
      </c>
      <c r="H221" s="74">
        <v>0.0</v>
      </c>
      <c r="I221" s="75"/>
      <c r="J221" s="74">
        <f t="shared" si="5"/>
        <v>2640</v>
      </c>
      <c r="K221" s="70" t="s">
        <v>56</v>
      </c>
      <c r="L221" s="71">
        <f t="shared" si="2"/>
        <v>2640</v>
      </c>
      <c r="M221" s="76" t="str">
        <f t="shared" si="3"/>
        <v>febrero</v>
      </c>
      <c r="N221" s="76">
        <f t="shared" si="4"/>
        <v>2026</v>
      </c>
    </row>
    <row r="222" ht="22.5" customHeight="1">
      <c r="A222" s="67" t="str">
        <f t="array" ref="A222">XLOOKUP(B222,SERVICIOS!B:B,SERVICIOS!A:A,"")</f>
        <v>S04</v>
      </c>
      <c r="B222" s="68" t="s">
        <v>148</v>
      </c>
      <c r="C222" s="69">
        <v>46054.0</v>
      </c>
      <c r="D222" s="70" t="s">
        <v>154</v>
      </c>
      <c r="E222" s="71">
        <f t="array" ref="E222">XLOOKUP($D:$D,LISTA_SERVICIOS,LISTA_PRECIOS,0)</f>
        <v>2200</v>
      </c>
      <c r="F222" s="72">
        <v>0.0</v>
      </c>
      <c r="G222" s="73">
        <v>200.0</v>
      </c>
      <c r="H222" s="74">
        <v>0.0</v>
      </c>
      <c r="I222" s="75"/>
      <c r="J222" s="74">
        <f t="shared" si="5"/>
        <v>2000</v>
      </c>
      <c r="K222" s="70" t="s">
        <v>56</v>
      </c>
      <c r="L222" s="71">
        <f t="shared" si="2"/>
        <v>2000</v>
      </c>
      <c r="M222" s="76" t="str">
        <f t="shared" si="3"/>
        <v>febrero</v>
      </c>
      <c r="N222" s="76">
        <f t="shared" si="4"/>
        <v>2026</v>
      </c>
    </row>
    <row r="223" ht="22.5" customHeight="1">
      <c r="A223" s="67" t="str">
        <f t="array" ref="A223">XLOOKUP(B223,SERVICIOS!B:B,SERVICIOS!A:A,"")</f>
        <v>S04</v>
      </c>
      <c r="B223" s="68" t="s">
        <v>148</v>
      </c>
      <c r="C223" s="69">
        <v>46060.0</v>
      </c>
      <c r="D223" s="70" t="s">
        <v>155</v>
      </c>
      <c r="E223" s="71">
        <f t="array" ref="E223">XLOOKUP($D:$D,LISTA_SERVICIOS,LISTA_PRECIOS,0)</f>
        <v>1500</v>
      </c>
      <c r="F223" s="72">
        <v>0.0</v>
      </c>
      <c r="G223" s="73">
        <v>0.0</v>
      </c>
      <c r="H223" s="74">
        <v>0.0</v>
      </c>
      <c r="I223" s="75"/>
      <c r="J223" s="74">
        <f t="shared" si="5"/>
        <v>1500</v>
      </c>
      <c r="K223" s="70" t="s">
        <v>46</v>
      </c>
      <c r="L223" s="71">
        <f t="shared" si="2"/>
        <v>1500</v>
      </c>
      <c r="M223" s="76" t="str">
        <f t="shared" si="3"/>
        <v>febrero</v>
      </c>
      <c r="N223" s="76">
        <f t="shared" si="4"/>
        <v>2026</v>
      </c>
    </row>
    <row r="224" ht="22.5" customHeight="1">
      <c r="A224" s="67" t="str">
        <f t="array" ref="A224">XLOOKUP(B224,SERVICIOS!B:B,SERVICIOS!A:A,"")</f>
        <v>S02</v>
      </c>
      <c r="B224" s="68" t="s">
        <v>143</v>
      </c>
      <c r="C224" s="69">
        <v>46060.0</v>
      </c>
      <c r="D224" s="70" t="s">
        <v>78</v>
      </c>
      <c r="E224" s="71">
        <f t="array" ref="E224">XLOOKUP($D:$D,LISTA_SERVICIOS,LISTA_PRECIOS,0)</f>
        <v>1000</v>
      </c>
      <c r="F224" s="72">
        <v>0.0</v>
      </c>
      <c r="G224" s="73">
        <v>0.0</v>
      </c>
      <c r="H224" s="74">
        <v>0.0</v>
      </c>
      <c r="I224" s="75"/>
      <c r="J224" s="74">
        <f t="shared" si="5"/>
        <v>1000</v>
      </c>
      <c r="K224" s="70" t="s">
        <v>46</v>
      </c>
      <c r="L224" s="71">
        <f t="shared" si="2"/>
        <v>1000</v>
      </c>
      <c r="M224" s="76" t="str">
        <f t="shared" si="3"/>
        <v>febrero</v>
      </c>
      <c r="N224" s="76">
        <f t="shared" si="4"/>
        <v>2026</v>
      </c>
    </row>
    <row r="225" ht="22.5" customHeight="1">
      <c r="A225" s="67" t="str">
        <f t="array" ref="A225">XLOOKUP(B225,SERVICIOS!B:B,SERVICIOS!A:A,"")</f>
        <v>S02</v>
      </c>
      <c r="B225" s="68" t="s">
        <v>143</v>
      </c>
      <c r="C225" s="69">
        <v>46060.0</v>
      </c>
      <c r="D225" s="70" t="s">
        <v>68</v>
      </c>
      <c r="E225" s="71">
        <f t="array" ref="E225">XLOOKUP($D:$D,LISTA_SERVICIOS,LISTA_PRECIOS,0)</f>
        <v>800</v>
      </c>
      <c r="F225" s="72">
        <v>0.0</v>
      </c>
      <c r="G225" s="73">
        <v>0.0</v>
      </c>
      <c r="H225" s="74">
        <v>0.0</v>
      </c>
      <c r="I225" s="75"/>
      <c r="J225" s="74">
        <f t="shared" si="5"/>
        <v>800</v>
      </c>
      <c r="K225" s="70" t="s">
        <v>51</v>
      </c>
      <c r="L225" s="71">
        <f t="shared" si="2"/>
        <v>800</v>
      </c>
      <c r="M225" s="76" t="str">
        <f t="shared" si="3"/>
        <v>febrero</v>
      </c>
      <c r="N225" s="76">
        <f t="shared" si="4"/>
        <v>2026</v>
      </c>
    </row>
    <row r="226" ht="22.5" customHeight="1">
      <c r="A226" s="67" t="str">
        <f t="array" ref="A226">XLOOKUP(B226,SERVICIOS!B:B,SERVICIOS!A:A,"")</f>
        <v>S02</v>
      </c>
      <c r="B226" s="68" t="s">
        <v>143</v>
      </c>
      <c r="C226" s="69">
        <v>46060.0</v>
      </c>
      <c r="D226" s="70" t="s">
        <v>58</v>
      </c>
      <c r="E226" s="71">
        <f t="array" ref="E226">XLOOKUP($D:$D,LISTA_SERVICIOS,LISTA_PRECIOS,0)</f>
        <v>650</v>
      </c>
      <c r="F226" s="72">
        <v>0.0</v>
      </c>
      <c r="G226" s="73">
        <v>200.0</v>
      </c>
      <c r="H226" s="74">
        <v>0.0</v>
      </c>
      <c r="I226" s="75"/>
      <c r="J226" s="74">
        <f t="shared" si="5"/>
        <v>450</v>
      </c>
      <c r="K226" s="70" t="s">
        <v>51</v>
      </c>
      <c r="L226" s="71">
        <f t="shared" si="2"/>
        <v>450</v>
      </c>
      <c r="M226" s="76" t="str">
        <f t="shared" si="3"/>
        <v>febrero</v>
      </c>
      <c r="N226" s="76">
        <f t="shared" si="4"/>
        <v>2026</v>
      </c>
    </row>
    <row r="227" ht="22.5" customHeight="1">
      <c r="A227" s="67" t="str">
        <f t="array" ref="A227">XLOOKUP(B227,SERVICIOS!B:B,SERVICIOS!A:A,"")</f>
        <v>S02</v>
      </c>
      <c r="B227" s="68" t="s">
        <v>143</v>
      </c>
      <c r="C227" s="69">
        <v>46060.0</v>
      </c>
      <c r="D227" s="70" t="s">
        <v>48</v>
      </c>
      <c r="E227" s="71">
        <f t="array" ref="E227">XLOOKUP($D:$D,LISTA_SERVICIOS,LISTA_PRECIOS,0)</f>
        <v>650</v>
      </c>
      <c r="F227" s="72">
        <v>0.0</v>
      </c>
      <c r="G227" s="73">
        <v>0.0</v>
      </c>
      <c r="H227" s="74">
        <v>435.0</v>
      </c>
      <c r="I227" s="70" t="s">
        <v>46</v>
      </c>
      <c r="J227" s="74">
        <f t="shared" si="5"/>
        <v>215</v>
      </c>
      <c r="K227" s="70" t="s">
        <v>51</v>
      </c>
      <c r="L227" s="71">
        <f t="shared" si="2"/>
        <v>650</v>
      </c>
      <c r="M227" s="76" t="str">
        <f t="shared" si="3"/>
        <v>febrero</v>
      </c>
      <c r="N227" s="76">
        <f t="shared" si="4"/>
        <v>2026</v>
      </c>
    </row>
    <row r="228" ht="22.5" customHeight="1">
      <c r="A228" s="67" t="str">
        <f t="array" ref="A228">XLOOKUP(B228,SERVICIOS!B:B,SERVICIOS!A:A,"")</f>
        <v>S02</v>
      </c>
      <c r="B228" s="68" t="s">
        <v>143</v>
      </c>
      <c r="C228" s="69">
        <v>46060.0</v>
      </c>
      <c r="D228" s="70" t="s">
        <v>75</v>
      </c>
      <c r="E228" s="71">
        <f t="array" ref="E228">XLOOKUP($D:$D,LISTA_SERVICIOS,LISTA_PRECIOS,0)</f>
        <v>800</v>
      </c>
      <c r="F228" s="72">
        <v>0.0</v>
      </c>
      <c r="G228" s="73">
        <v>0.0</v>
      </c>
      <c r="H228" s="74">
        <v>0.0</v>
      </c>
      <c r="I228" s="75"/>
      <c r="J228" s="74">
        <f t="shared" si="5"/>
        <v>800</v>
      </c>
      <c r="K228" s="70" t="s">
        <v>51</v>
      </c>
      <c r="L228" s="71">
        <f t="shared" si="2"/>
        <v>800</v>
      </c>
      <c r="M228" s="76" t="str">
        <f t="shared" si="3"/>
        <v>febrero</v>
      </c>
      <c r="N228" s="76">
        <f t="shared" si="4"/>
        <v>2026</v>
      </c>
    </row>
    <row r="229" ht="22.5" customHeight="1">
      <c r="A229" s="67" t="str">
        <f t="array" ref="A229">XLOOKUP(B229,SERVICIOS!B:B,SERVICIOS!A:A,"")</f>
        <v>S02</v>
      </c>
      <c r="B229" s="68" t="s">
        <v>143</v>
      </c>
      <c r="C229" s="69">
        <v>46060.0</v>
      </c>
      <c r="D229" s="70" t="s">
        <v>53</v>
      </c>
      <c r="E229" s="71">
        <f t="array" ref="E229">XLOOKUP($D:$D,LISTA_SERVICIOS,LISTA_PRECIOS,0)</f>
        <v>650</v>
      </c>
      <c r="F229" s="72">
        <v>0.0</v>
      </c>
      <c r="G229" s="73">
        <v>0.0</v>
      </c>
      <c r="H229" s="74">
        <v>0.0</v>
      </c>
      <c r="I229" s="75"/>
      <c r="J229" s="74">
        <f t="shared" si="5"/>
        <v>650</v>
      </c>
      <c r="K229" s="70" t="s">
        <v>51</v>
      </c>
      <c r="L229" s="71">
        <f t="shared" si="2"/>
        <v>650</v>
      </c>
      <c r="M229" s="76" t="str">
        <f t="shared" si="3"/>
        <v>febrero</v>
      </c>
      <c r="N229" s="76">
        <f t="shared" si="4"/>
        <v>2026</v>
      </c>
    </row>
    <row r="230" ht="22.5" customHeight="1">
      <c r="A230" s="67" t="str">
        <f t="array" ref="A230">XLOOKUP(B230,SERVICIOS!B:B,SERVICIOS!A:A,"")</f>
        <v>S01</v>
      </c>
      <c r="B230" s="68" t="s">
        <v>140</v>
      </c>
      <c r="C230" s="69">
        <v>46060.0</v>
      </c>
      <c r="D230" s="70" t="s">
        <v>145</v>
      </c>
      <c r="E230" s="71">
        <f t="array" ref="E230">XLOOKUP($D:$D,LISTA_SERVICIOS,LISTA_PRECIOS,0)</f>
        <v>2600</v>
      </c>
      <c r="F230" s="72">
        <v>0.0</v>
      </c>
      <c r="G230" s="73">
        <v>0.0</v>
      </c>
      <c r="H230" s="74">
        <v>0.0</v>
      </c>
      <c r="I230" s="75"/>
      <c r="J230" s="74">
        <f t="shared" si="5"/>
        <v>2600</v>
      </c>
      <c r="K230" s="70" t="s">
        <v>46</v>
      </c>
      <c r="L230" s="71">
        <f t="shared" si="2"/>
        <v>2600</v>
      </c>
      <c r="M230" s="76" t="str">
        <f t="shared" si="3"/>
        <v>febrero</v>
      </c>
      <c r="N230" s="76">
        <f t="shared" si="4"/>
        <v>2026</v>
      </c>
    </row>
    <row r="231" ht="22.5" customHeight="1">
      <c r="A231" s="67" t="str">
        <f t="array" ref="A231">XLOOKUP(B231,SERVICIOS!B:B,SERVICIOS!A:A,"")</f>
        <v>S03</v>
      </c>
      <c r="B231" s="68" t="s">
        <v>142</v>
      </c>
      <c r="C231" s="69">
        <v>46060.0</v>
      </c>
      <c r="D231" s="70" t="s">
        <v>39</v>
      </c>
      <c r="E231" s="71">
        <f t="array" ref="E231">XLOOKUP($D:$D,LISTA_SERVICIOS,LISTA_PRECIOS,0)</f>
        <v>2800</v>
      </c>
      <c r="F231" s="72">
        <v>0.0</v>
      </c>
      <c r="G231" s="73">
        <v>0.0</v>
      </c>
      <c r="H231" s="74">
        <v>0.0</v>
      </c>
      <c r="I231" s="75"/>
      <c r="J231" s="74">
        <f t="shared" si="5"/>
        <v>2800</v>
      </c>
      <c r="K231" s="70" t="s">
        <v>51</v>
      </c>
      <c r="L231" s="71">
        <f t="shared" si="2"/>
        <v>2800</v>
      </c>
      <c r="M231" s="76" t="str">
        <f t="shared" si="3"/>
        <v>febrero</v>
      </c>
      <c r="N231" s="76">
        <f t="shared" si="4"/>
        <v>2026</v>
      </c>
    </row>
    <row r="232" ht="22.5" customHeight="1">
      <c r="A232" s="67" t="str">
        <f t="array" ref="A232">XLOOKUP(B232,SERVICIOS!B:B,SERVICIOS!A:A,"")</f>
        <v>S02</v>
      </c>
      <c r="B232" s="68" t="s">
        <v>143</v>
      </c>
      <c r="C232" s="69">
        <v>46061.0</v>
      </c>
      <c r="D232" s="70" t="s">
        <v>38</v>
      </c>
      <c r="E232" s="71">
        <f t="array" ref="E232">XLOOKUP($D:$D,LISTA_SERVICIOS,LISTA_PRECIOS,0)</f>
        <v>600</v>
      </c>
      <c r="F232" s="72">
        <v>0.0</v>
      </c>
      <c r="G232" s="73">
        <v>0.0</v>
      </c>
      <c r="H232" s="74">
        <v>180.0</v>
      </c>
      <c r="I232" s="70" t="s">
        <v>46</v>
      </c>
      <c r="J232" s="74">
        <f t="shared" si="5"/>
        <v>420</v>
      </c>
      <c r="K232" s="70" t="s">
        <v>51</v>
      </c>
      <c r="L232" s="71">
        <f t="shared" si="2"/>
        <v>600</v>
      </c>
      <c r="M232" s="76" t="str">
        <f t="shared" si="3"/>
        <v>febrero</v>
      </c>
      <c r="N232" s="76">
        <f t="shared" si="4"/>
        <v>2026</v>
      </c>
    </row>
    <row r="233" ht="22.5" customHeight="1">
      <c r="A233" s="67" t="str">
        <f t="array" ref="A233">XLOOKUP(B233,SERVICIOS!B:B,SERVICIOS!A:A,"")</f>
        <v>S02</v>
      </c>
      <c r="B233" s="68" t="s">
        <v>143</v>
      </c>
      <c r="C233" s="69">
        <v>46061.0</v>
      </c>
      <c r="D233" s="70" t="s">
        <v>75</v>
      </c>
      <c r="E233" s="71">
        <f t="array" ref="E233">XLOOKUP($D:$D,LISTA_SERVICIOS,LISTA_PRECIOS,0)</f>
        <v>800</v>
      </c>
      <c r="F233" s="72">
        <v>0.0</v>
      </c>
      <c r="G233" s="73">
        <v>0.0</v>
      </c>
      <c r="H233" s="74">
        <v>300.0</v>
      </c>
      <c r="I233" s="70" t="s">
        <v>46</v>
      </c>
      <c r="J233" s="74">
        <f t="shared" si="5"/>
        <v>500</v>
      </c>
      <c r="K233" s="70" t="s">
        <v>51</v>
      </c>
      <c r="L233" s="71">
        <f t="shared" si="2"/>
        <v>800</v>
      </c>
      <c r="M233" s="76" t="str">
        <f t="shared" si="3"/>
        <v>febrero</v>
      </c>
      <c r="N233" s="76">
        <f t="shared" si="4"/>
        <v>2026</v>
      </c>
    </row>
    <row r="234" ht="22.5" customHeight="1">
      <c r="A234" s="67" t="str">
        <f t="array" ref="A234">XLOOKUP(B234,SERVICIOS!B:B,SERVICIOS!A:A,"")</f>
        <v>S01</v>
      </c>
      <c r="B234" s="68" t="s">
        <v>140</v>
      </c>
      <c r="C234" s="69">
        <v>46061.0</v>
      </c>
      <c r="D234" s="70" t="s">
        <v>146</v>
      </c>
      <c r="E234" s="71">
        <f t="array" ref="E234">XLOOKUP($D:$D,LISTA_SERVICIOS,LISTA_PRECIOS,0)</f>
        <v>3000</v>
      </c>
      <c r="F234" s="72">
        <v>0.0</v>
      </c>
      <c r="G234" s="73">
        <v>200.0</v>
      </c>
      <c r="H234" s="74">
        <v>1500.0</v>
      </c>
      <c r="I234" s="70" t="s">
        <v>46</v>
      </c>
      <c r="J234" s="74">
        <f t="shared" si="5"/>
        <v>1300</v>
      </c>
      <c r="K234" s="70" t="s">
        <v>51</v>
      </c>
      <c r="L234" s="71">
        <f t="shared" si="2"/>
        <v>2800</v>
      </c>
      <c r="M234" s="76" t="str">
        <f t="shared" si="3"/>
        <v>febrero</v>
      </c>
      <c r="N234" s="76">
        <f t="shared" si="4"/>
        <v>2026</v>
      </c>
    </row>
    <row r="235" ht="22.5" customHeight="1">
      <c r="A235" s="67" t="str">
        <f t="array" ref="A235">XLOOKUP(B235,SERVICIOS!B:B,SERVICIOS!A:A,"")</f>
        <v>S01</v>
      </c>
      <c r="B235" s="68" t="s">
        <v>140</v>
      </c>
      <c r="C235" s="69">
        <v>46065.0</v>
      </c>
      <c r="D235" s="70" t="s">
        <v>141</v>
      </c>
      <c r="E235" s="71">
        <f t="array" ref="E235">XLOOKUP($D:$D,LISTA_SERVICIOS,LISTA_PRECIOS,0)</f>
        <v>2200</v>
      </c>
      <c r="F235" s="72">
        <v>0.0</v>
      </c>
      <c r="G235" s="73">
        <v>0.0</v>
      </c>
      <c r="H235" s="74">
        <v>0.0</v>
      </c>
      <c r="I235" s="75"/>
      <c r="J235" s="74">
        <f t="shared" si="5"/>
        <v>2200</v>
      </c>
      <c r="K235" s="70" t="s">
        <v>56</v>
      </c>
      <c r="L235" s="71">
        <f t="shared" si="2"/>
        <v>2200</v>
      </c>
      <c r="M235" s="76" t="str">
        <f t="shared" si="3"/>
        <v>febrero</v>
      </c>
      <c r="N235" s="76">
        <f t="shared" si="4"/>
        <v>2026</v>
      </c>
    </row>
    <row r="236" ht="22.5" customHeight="1">
      <c r="A236" s="67" t="str">
        <f t="array" ref="A236">XLOOKUP(B236,SERVICIOS!B:B,SERVICIOS!A:A,"")</f>
        <v>S02</v>
      </c>
      <c r="B236" s="68" t="s">
        <v>143</v>
      </c>
      <c r="C236" s="69">
        <v>46065.0</v>
      </c>
      <c r="D236" s="70" t="s">
        <v>75</v>
      </c>
      <c r="E236" s="71">
        <f t="array" ref="E236">XLOOKUP($D:$D,LISTA_SERVICIOS,LISTA_PRECIOS,0)</f>
        <v>800</v>
      </c>
      <c r="F236" s="72">
        <v>0.0</v>
      </c>
      <c r="G236" s="73">
        <v>200.0</v>
      </c>
      <c r="H236" s="74">
        <v>0.0</v>
      </c>
      <c r="I236" s="75"/>
      <c r="J236" s="74">
        <f t="shared" si="5"/>
        <v>600</v>
      </c>
      <c r="K236" s="70" t="s">
        <v>56</v>
      </c>
      <c r="L236" s="71">
        <f t="shared" si="2"/>
        <v>600</v>
      </c>
      <c r="M236" s="76" t="str">
        <f t="shared" si="3"/>
        <v>febrero</v>
      </c>
      <c r="N236" s="76">
        <f t="shared" si="4"/>
        <v>2026</v>
      </c>
    </row>
    <row r="237" ht="22.5" customHeight="1">
      <c r="A237" s="67" t="str">
        <f t="array" ref="A237">XLOOKUP(B237,SERVICIOS!B:B,SERVICIOS!A:A,"")</f>
        <v>S01</v>
      </c>
      <c r="B237" s="68" t="s">
        <v>140</v>
      </c>
      <c r="C237" s="69">
        <v>46066.0</v>
      </c>
      <c r="D237" s="70" t="s">
        <v>146</v>
      </c>
      <c r="E237" s="71">
        <f t="array" ref="E237">XLOOKUP($D:$D,LISTA_SERVICIOS,LISTA_PRECIOS,0)</f>
        <v>3000</v>
      </c>
      <c r="F237" s="72">
        <v>0.0</v>
      </c>
      <c r="G237" s="73">
        <v>150.0</v>
      </c>
      <c r="H237" s="74">
        <v>0.0</v>
      </c>
      <c r="I237" s="75"/>
      <c r="J237" s="74">
        <f t="shared" si="5"/>
        <v>2850</v>
      </c>
      <c r="K237" s="70" t="s">
        <v>51</v>
      </c>
      <c r="L237" s="71">
        <f t="shared" si="2"/>
        <v>2850</v>
      </c>
      <c r="M237" s="76" t="str">
        <f t="shared" si="3"/>
        <v>febrero</v>
      </c>
      <c r="N237" s="76">
        <f t="shared" si="4"/>
        <v>2026</v>
      </c>
    </row>
    <row r="238" ht="22.5" customHeight="1">
      <c r="A238" s="67" t="str">
        <f t="array" ref="A238">XLOOKUP(B238,SERVICIOS!B:B,SERVICIOS!A:A,"")</f>
        <v>S03</v>
      </c>
      <c r="B238" s="68" t="s">
        <v>142</v>
      </c>
      <c r="C238" s="69">
        <v>46066.0</v>
      </c>
      <c r="D238" s="70" t="s">
        <v>39</v>
      </c>
      <c r="E238" s="71">
        <f t="array" ref="E238">XLOOKUP($D:$D,LISTA_SERVICIOS,LISTA_PRECIOS,0)</f>
        <v>2800</v>
      </c>
      <c r="F238" s="72">
        <v>0.0</v>
      </c>
      <c r="G238" s="73">
        <v>150.0</v>
      </c>
      <c r="H238" s="74">
        <v>0.0</v>
      </c>
      <c r="I238" s="75"/>
      <c r="J238" s="74">
        <f t="shared" si="5"/>
        <v>2650</v>
      </c>
      <c r="K238" s="70" t="s">
        <v>51</v>
      </c>
      <c r="L238" s="71">
        <f t="shared" si="2"/>
        <v>2650</v>
      </c>
      <c r="M238" s="76" t="str">
        <f t="shared" si="3"/>
        <v>febrero</v>
      </c>
      <c r="N238" s="76">
        <f t="shared" si="4"/>
        <v>2026</v>
      </c>
    </row>
    <row r="239" ht="22.5" customHeight="1">
      <c r="A239" s="67" t="str">
        <f t="array" ref="A239">XLOOKUP(B239,SERVICIOS!B:B,SERVICIOS!A:A,"")</f>
        <v>S03</v>
      </c>
      <c r="B239" s="68" t="s">
        <v>142</v>
      </c>
      <c r="C239" s="69">
        <v>46066.0</v>
      </c>
      <c r="D239" s="70" t="s">
        <v>69</v>
      </c>
      <c r="E239" s="71">
        <f t="array" ref="E239">XLOOKUP($D:$D,LISTA_SERVICIOS,LISTA_PRECIOS,0)</f>
        <v>6000</v>
      </c>
      <c r="F239" s="72">
        <v>950.0</v>
      </c>
      <c r="G239" s="73">
        <v>0.0</v>
      </c>
      <c r="H239" s="74">
        <v>0.0</v>
      </c>
      <c r="I239" s="75"/>
      <c r="J239" s="74">
        <f t="shared" si="5"/>
        <v>6950</v>
      </c>
      <c r="K239" s="70" t="s">
        <v>46</v>
      </c>
      <c r="L239" s="71">
        <f t="shared" si="2"/>
        <v>6950</v>
      </c>
      <c r="M239" s="76" t="str">
        <f t="shared" si="3"/>
        <v>febrero</v>
      </c>
      <c r="N239" s="76">
        <f t="shared" si="4"/>
        <v>2026</v>
      </c>
    </row>
    <row r="240" ht="22.5" customHeight="1">
      <c r="A240" s="67" t="str">
        <f t="array" ref="A240">XLOOKUP(B240,SERVICIOS!B:B,SERVICIOS!A:A,"")</f>
        <v>S01</v>
      </c>
      <c r="B240" s="68" t="s">
        <v>140</v>
      </c>
      <c r="C240" s="69">
        <v>46066.0</v>
      </c>
      <c r="D240" s="70" t="s">
        <v>145</v>
      </c>
      <c r="E240" s="71">
        <f t="array" ref="E240">XLOOKUP($D:$D,LISTA_SERVICIOS,LISTA_PRECIOS,0)</f>
        <v>2600</v>
      </c>
      <c r="F240" s="72">
        <v>0.0</v>
      </c>
      <c r="G240" s="73">
        <v>0.0</v>
      </c>
      <c r="H240" s="74">
        <v>0.0</v>
      </c>
      <c r="I240" s="75"/>
      <c r="J240" s="74">
        <f t="shared" si="5"/>
        <v>2600</v>
      </c>
      <c r="K240" s="70" t="s">
        <v>46</v>
      </c>
      <c r="L240" s="71">
        <f t="shared" si="2"/>
        <v>2600</v>
      </c>
      <c r="M240" s="76" t="str">
        <f t="shared" si="3"/>
        <v>febrero</v>
      </c>
      <c r="N240" s="76">
        <f t="shared" si="4"/>
        <v>2026</v>
      </c>
    </row>
    <row r="241" ht="22.5" customHeight="1">
      <c r="A241" s="67" t="str">
        <f t="array" ref="A241">XLOOKUP(B241,SERVICIOS!B:B,SERVICIOS!A:A,"")</f>
        <v>S03</v>
      </c>
      <c r="B241" s="68" t="s">
        <v>142</v>
      </c>
      <c r="C241" s="69">
        <v>46066.0</v>
      </c>
      <c r="D241" s="70" t="s">
        <v>39</v>
      </c>
      <c r="E241" s="71">
        <f t="array" ref="E241">XLOOKUP($D:$D,LISTA_SERVICIOS,LISTA_PRECIOS,0)</f>
        <v>2800</v>
      </c>
      <c r="F241" s="72">
        <v>0.0</v>
      </c>
      <c r="G241" s="73">
        <v>800.0</v>
      </c>
      <c r="H241" s="74">
        <v>0.0</v>
      </c>
      <c r="I241" s="75"/>
      <c r="J241" s="74">
        <f t="shared" si="5"/>
        <v>2000</v>
      </c>
      <c r="K241" s="70" t="s">
        <v>56</v>
      </c>
      <c r="L241" s="71">
        <f t="shared" si="2"/>
        <v>2000</v>
      </c>
      <c r="M241" s="76" t="str">
        <f t="shared" si="3"/>
        <v>febrero</v>
      </c>
      <c r="N241" s="76">
        <f t="shared" si="4"/>
        <v>2026</v>
      </c>
    </row>
    <row r="242" ht="22.5" customHeight="1">
      <c r="A242" s="67" t="str">
        <f t="array" ref="A242">XLOOKUP(B242,SERVICIOS!B:B,SERVICIOS!A:A,"")</f>
        <v>S02</v>
      </c>
      <c r="B242" s="68" t="s">
        <v>143</v>
      </c>
      <c r="C242" s="69">
        <v>46067.0</v>
      </c>
      <c r="D242" s="70" t="s">
        <v>58</v>
      </c>
      <c r="E242" s="71">
        <f t="array" ref="E242">XLOOKUP($D:$D,LISTA_SERVICIOS,LISTA_PRECIOS,0)</f>
        <v>650</v>
      </c>
      <c r="F242" s="72">
        <v>0.0</v>
      </c>
      <c r="G242" s="73">
        <v>0.0</v>
      </c>
      <c r="H242" s="74">
        <v>0.0</v>
      </c>
      <c r="I242" s="75"/>
      <c r="J242" s="74">
        <f t="shared" si="5"/>
        <v>650</v>
      </c>
      <c r="K242" s="70" t="s">
        <v>51</v>
      </c>
      <c r="L242" s="71">
        <f t="shared" si="2"/>
        <v>650</v>
      </c>
      <c r="M242" s="76" t="str">
        <f t="shared" si="3"/>
        <v>febrero</v>
      </c>
      <c r="N242" s="76">
        <f t="shared" si="4"/>
        <v>2026</v>
      </c>
    </row>
    <row r="243" ht="22.5" customHeight="1">
      <c r="A243" s="67" t="str">
        <f t="array" ref="A243">XLOOKUP(B243,SERVICIOS!B:B,SERVICIOS!A:A,"")</f>
        <v>S03</v>
      </c>
      <c r="B243" s="68" t="s">
        <v>142</v>
      </c>
      <c r="C243" s="69">
        <v>46067.0</v>
      </c>
      <c r="D243" s="70" t="s">
        <v>44</v>
      </c>
      <c r="E243" s="71">
        <f t="array" ref="E243">XLOOKUP($D:$D,LISTA_SERVICIOS,LISTA_PRECIOS,0)</f>
        <v>3300</v>
      </c>
      <c r="F243" s="72">
        <v>0.0</v>
      </c>
      <c r="G243" s="73">
        <v>0.0</v>
      </c>
      <c r="H243" s="74">
        <v>1000.0</v>
      </c>
      <c r="I243" s="70" t="s">
        <v>46</v>
      </c>
      <c r="J243" s="74">
        <f t="shared" si="5"/>
        <v>2300</v>
      </c>
      <c r="K243" s="70" t="s">
        <v>46</v>
      </c>
      <c r="L243" s="71">
        <f t="shared" si="2"/>
        <v>3300</v>
      </c>
      <c r="M243" s="76" t="str">
        <f t="shared" si="3"/>
        <v>febrero</v>
      </c>
      <c r="N243" s="76">
        <f t="shared" si="4"/>
        <v>2026</v>
      </c>
    </row>
    <row r="244" ht="22.5" customHeight="1">
      <c r="A244" s="67" t="str">
        <f t="array" ref="A244">XLOOKUP(B244,SERVICIOS!B:B,SERVICIOS!A:A,"")</f>
        <v>S02</v>
      </c>
      <c r="B244" s="68" t="s">
        <v>143</v>
      </c>
      <c r="C244" s="69">
        <v>46067.0</v>
      </c>
      <c r="D244" s="70" t="s">
        <v>38</v>
      </c>
      <c r="E244" s="71">
        <f t="array" ref="E244">XLOOKUP($D:$D,LISTA_SERVICIOS,LISTA_PRECIOS,0)</f>
        <v>600</v>
      </c>
      <c r="F244" s="72">
        <v>0.0</v>
      </c>
      <c r="G244" s="73">
        <v>0.0</v>
      </c>
      <c r="H244" s="74">
        <v>300.0</v>
      </c>
      <c r="I244" s="70" t="s">
        <v>46</v>
      </c>
      <c r="J244" s="74">
        <f t="shared" si="5"/>
        <v>300</v>
      </c>
      <c r="K244" s="70" t="s">
        <v>46</v>
      </c>
      <c r="L244" s="71">
        <f t="shared" si="2"/>
        <v>600</v>
      </c>
      <c r="M244" s="76" t="str">
        <f t="shared" si="3"/>
        <v>febrero</v>
      </c>
      <c r="N244" s="76">
        <f t="shared" si="4"/>
        <v>2026</v>
      </c>
    </row>
    <row r="245" ht="22.5" customHeight="1">
      <c r="A245" s="67" t="str">
        <f t="array" ref="A245">XLOOKUP(B245,SERVICIOS!B:B,SERVICIOS!A:A,"")</f>
        <v>S03</v>
      </c>
      <c r="B245" s="68" t="s">
        <v>142</v>
      </c>
      <c r="C245" s="69">
        <v>46067.0</v>
      </c>
      <c r="D245" s="70" t="s">
        <v>39</v>
      </c>
      <c r="E245" s="71">
        <f t="array" ref="E245">XLOOKUP($D:$D,LISTA_SERVICIOS,LISTA_PRECIOS,0)</f>
        <v>2800</v>
      </c>
      <c r="F245" s="72">
        <v>0.0</v>
      </c>
      <c r="G245" s="73">
        <v>300.0</v>
      </c>
      <c r="H245" s="74">
        <v>0.0</v>
      </c>
      <c r="I245" s="75"/>
      <c r="J245" s="74">
        <f t="shared" si="5"/>
        <v>2500</v>
      </c>
      <c r="K245" s="70" t="s">
        <v>46</v>
      </c>
      <c r="L245" s="71">
        <f t="shared" si="2"/>
        <v>2500</v>
      </c>
      <c r="M245" s="76" t="str">
        <f t="shared" si="3"/>
        <v>febrero</v>
      </c>
      <c r="N245" s="76">
        <f t="shared" si="4"/>
        <v>2026</v>
      </c>
    </row>
    <row r="246" ht="22.5" customHeight="1">
      <c r="A246" s="67" t="str">
        <f t="array" ref="A246">XLOOKUP(B246,SERVICIOS!B:B,SERVICIOS!A:A,"")</f>
        <v>S03</v>
      </c>
      <c r="B246" s="68" t="s">
        <v>142</v>
      </c>
      <c r="C246" s="69">
        <v>46067.0</v>
      </c>
      <c r="D246" s="70" t="s">
        <v>39</v>
      </c>
      <c r="E246" s="71">
        <f t="array" ref="E246">XLOOKUP($D:$D,LISTA_SERVICIOS,LISTA_PRECIOS,0)</f>
        <v>2800</v>
      </c>
      <c r="F246" s="72">
        <v>0.0</v>
      </c>
      <c r="G246" s="73">
        <v>1300.0</v>
      </c>
      <c r="H246" s="74">
        <v>0.0</v>
      </c>
      <c r="I246" s="75"/>
      <c r="J246" s="74">
        <f t="shared" si="5"/>
        <v>1500</v>
      </c>
      <c r="K246" s="70" t="s">
        <v>51</v>
      </c>
      <c r="L246" s="71">
        <f t="shared" si="2"/>
        <v>1500</v>
      </c>
      <c r="M246" s="76" t="str">
        <f t="shared" si="3"/>
        <v>febrero</v>
      </c>
      <c r="N246" s="76">
        <f t="shared" si="4"/>
        <v>2026</v>
      </c>
    </row>
    <row r="247" ht="22.5" customHeight="1">
      <c r="A247" s="67" t="str">
        <f t="array" ref="A247">XLOOKUP(B247,SERVICIOS!B:B,SERVICIOS!A:A,"")</f>
        <v>S02</v>
      </c>
      <c r="B247" s="68" t="s">
        <v>143</v>
      </c>
      <c r="C247" s="69">
        <v>46068.0</v>
      </c>
      <c r="D247" s="70" t="s">
        <v>78</v>
      </c>
      <c r="E247" s="71">
        <f t="array" ref="E247">XLOOKUP($D:$D,LISTA_SERVICIOS,LISTA_PRECIOS,0)</f>
        <v>1000</v>
      </c>
      <c r="F247" s="72">
        <v>0.0</v>
      </c>
      <c r="G247" s="73">
        <v>0.0</v>
      </c>
      <c r="H247" s="74">
        <v>0.0</v>
      </c>
      <c r="I247" s="75"/>
      <c r="J247" s="74">
        <f t="shared" si="5"/>
        <v>1000</v>
      </c>
      <c r="K247" s="70" t="s">
        <v>56</v>
      </c>
      <c r="L247" s="71">
        <f t="shared" si="2"/>
        <v>1000</v>
      </c>
      <c r="M247" s="76" t="str">
        <f t="shared" si="3"/>
        <v>febrero</v>
      </c>
      <c r="N247" s="76">
        <f t="shared" si="4"/>
        <v>2026</v>
      </c>
    </row>
    <row r="248" ht="22.5" customHeight="1">
      <c r="A248" s="67" t="str">
        <f t="array" ref="A248">XLOOKUP(B248,SERVICIOS!B:B,SERVICIOS!A:A,"")</f>
        <v>S01</v>
      </c>
      <c r="B248" s="68" t="s">
        <v>140</v>
      </c>
      <c r="C248" s="69">
        <v>46068.0</v>
      </c>
      <c r="D248" s="70" t="s">
        <v>145</v>
      </c>
      <c r="E248" s="71">
        <f t="array" ref="E248">XLOOKUP($D:$D,LISTA_SERVICIOS,LISTA_PRECIOS,0)</f>
        <v>2600</v>
      </c>
      <c r="F248" s="72">
        <v>0.0</v>
      </c>
      <c r="G248" s="73">
        <v>200.0</v>
      </c>
      <c r="H248" s="74">
        <v>0.0</v>
      </c>
      <c r="I248" s="75"/>
      <c r="J248" s="74">
        <f t="shared" si="5"/>
        <v>2400</v>
      </c>
      <c r="K248" s="70" t="s">
        <v>56</v>
      </c>
      <c r="L248" s="71">
        <f t="shared" si="2"/>
        <v>2400</v>
      </c>
      <c r="M248" s="76" t="str">
        <f t="shared" si="3"/>
        <v>febrero</v>
      </c>
      <c r="N248" s="76">
        <f t="shared" si="4"/>
        <v>2026</v>
      </c>
    </row>
    <row r="249" ht="22.5" customHeight="1">
      <c r="A249" s="67" t="str">
        <f t="array" ref="A249">XLOOKUP(B249,SERVICIOS!B:B,SERVICIOS!A:A,"")</f>
        <v>S02</v>
      </c>
      <c r="B249" s="68" t="s">
        <v>143</v>
      </c>
      <c r="C249" s="69">
        <v>46068.0</v>
      </c>
      <c r="D249" s="70" t="s">
        <v>58</v>
      </c>
      <c r="E249" s="71">
        <f t="array" ref="E249">XLOOKUP($D:$D,LISTA_SERVICIOS,LISTA_PRECIOS,0)</f>
        <v>650</v>
      </c>
      <c r="F249" s="72">
        <v>0.0</v>
      </c>
      <c r="G249" s="73">
        <v>200.0</v>
      </c>
      <c r="H249" s="74">
        <v>0.0</v>
      </c>
      <c r="I249" s="75"/>
      <c r="J249" s="74">
        <f t="shared" si="5"/>
        <v>450</v>
      </c>
      <c r="K249" s="70" t="s">
        <v>46</v>
      </c>
      <c r="L249" s="71">
        <f t="shared" si="2"/>
        <v>450</v>
      </c>
      <c r="M249" s="76" t="str">
        <f t="shared" si="3"/>
        <v>febrero</v>
      </c>
      <c r="N249" s="76">
        <f t="shared" si="4"/>
        <v>2026</v>
      </c>
    </row>
    <row r="250" ht="22.5" customHeight="1">
      <c r="A250" s="67" t="str">
        <f t="array" ref="A250">XLOOKUP(B250,SERVICIOS!B:B,SERVICIOS!A:A,"")</f>
        <v>S01</v>
      </c>
      <c r="B250" s="68" t="s">
        <v>140</v>
      </c>
      <c r="C250" s="69">
        <v>46068.0</v>
      </c>
      <c r="D250" s="70" t="s">
        <v>145</v>
      </c>
      <c r="E250" s="71">
        <f t="array" ref="E250">XLOOKUP($D:$D,LISTA_SERVICIOS,LISTA_PRECIOS,0)</f>
        <v>2600</v>
      </c>
      <c r="F250" s="72">
        <v>0.0</v>
      </c>
      <c r="G250" s="73">
        <v>600.0</v>
      </c>
      <c r="H250" s="74">
        <v>0.0</v>
      </c>
      <c r="I250" s="75"/>
      <c r="J250" s="74">
        <f t="shared" si="5"/>
        <v>2000</v>
      </c>
      <c r="K250" s="70" t="s">
        <v>46</v>
      </c>
      <c r="L250" s="71">
        <f t="shared" si="2"/>
        <v>2000</v>
      </c>
      <c r="M250" s="76" t="str">
        <f t="shared" si="3"/>
        <v>febrero</v>
      </c>
      <c r="N250" s="76">
        <f t="shared" si="4"/>
        <v>2026</v>
      </c>
    </row>
    <row r="251" ht="22.5" customHeight="1">
      <c r="A251" s="67" t="str">
        <f t="array" ref="A251">XLOOKUP(B251,SERVICIOS!B:B,SERVICIOS!A:A,"")</f>
        <v>S03</v>
      </c>
      <c r="B251" s="68" t="s">
        <v>142</v>
      </c>
      <c r="C251" s="69">
        <v>46068.0</v>
      </c>
      <c r="D251" s="70" t="s">
        <v>39</v>
      </c>
      <c r="E251" s="71">
        <f t="array" ref="E251">XLOOKUP($D:$D,LISTA_SERVICIOS,LISTA_PRECIOS,0)</f>
        <v>2800</v>
      </c>
      <c r="F251" s="72">
        <v>0.0</v>
      </c>
      <c r="G251" s="73">
        <v>300.0</v>
      </c>
      <c r="H251" s="74">
        <v>0.0</v>
      </c>
      <c r="I251" s="75"/>
      <c r="J251" s="74">
        <f t="shared" si="5"/>
        <v>2500</v>
      </c>
      <c r="K251" s="70" t="s">
        <v>46</v>
      </c>
      <c r="L251" s="71">
        <f t="shared" si="2"/>
        <v>2500</v>
      </c>
      <c r="M251" s="76" t="str">
        <f t="shared" si="3"/>
        <v>febrero</v>
      </c>
      <c r="N251" s="76">
        <f t="shared" si="4"/>
        <v>2026</v>
      </c>
    </row>
    <row r="252" ht="22.5" customHeight="1">
      <c r="A252" s="67" t="str">
        <f t="array" ref="A252">XLOOKUP(B252,SERVICIOS!B:B,SERVICIOS!A:A,"")</f>
        <v>S02</v>
      </c>
      <c r="B252" s="68" t="s">
        <v>143</v>
      </c>
      <c r="C252" s="69">
        <v>46068.0</v>
      </c>
      <c r="D252" s="70" t="s">
        <v>48</v>
      </c>
      <c r="E252" s="71">
        <f t="array" ref="E252">XLOOKUP($D:$D,LISTA_SERVICIOS,LISTA_PRECIOS,0)</f>
        <v>650</v>
      </c>
      <c r="F252" s="72">
        <v>0.0</v>
      </c>
      <c r="G252" s="73">
        <v>0.0</v>
      </c>
      <c r="H252" s="74">
        <v>0.0</v>
      </c>
      <c r="I252" s="75"/>
      <c r="J252" s="74">
        <f t="shared" si="5"/>
        <v>650</v>
      </c>
      <c r="K252" s="70" t="s">
        <v>56</v>
      </c>
      <c r="L252" s="71">
        <f t="shared" si="2"/>
        <v>650</v>
      </c>
      <c r="M252" s="76" t="str">
        <f t="shared" si="3"/>
        <v>febrero</v>
      </c>
      <c r="N252" s="76">
        <f t="shared" si="4"/>
        <v>2026</v>
      </c>
    </row>
    <row r="253" ht="22.5" customHeight="1">
      <c r="A253" s="67" t="str">
        <f t="array" ref="A253">XLOOKUP(B253,SERVICIOS!B:B,SERVICIOS!A:A,"")</f>
        <v>S02</v>
      </c>
      <c r="B253" s="68" t="s">
        <v>143</v>
      </c>
      <c r="C253" s="69">
        <v>46068.0</v>
      </c>
      <c r="D253" s="70" t="s">
        <v>53</v>
      </c>
      <c r="E253" s="71">
        <f t="array" ref="E253">XLOOKUP($D:$D,LISTA_SERVICIOS,LISTA_PRECIOS,0)</f>
        <v>650</v>
      </c>
      <c r="F253" s="72">
        <v>150.0</v>
      </c>
      <c r="G253" s="73">
        <v>0.0</v>
      </c>
      <c r="H253" s="74">
        <v>400.0</v>
      </c>
      <c r="I253" s="70" t="s">
        <v>46</v>
      </c>
      <c r="J253" s="74">
        <f t="shared" si="5"/>
        <v>400</v>
      </c>
      <c r="K253" s="70" t="s">
        <v>46</v>
      </c>
      <c r="L253" s="71">
        <f t="shared" si="2"/>
        <v>800</v>
      </c>
      <c r="M253" s="76" t="str">
        <f t="shared" si="3"/>
        <v>febrero</v>
      </c>
      <c r="N253" s="76">
        <f t="shared" si="4"/>
        <v>2026</v>
      </c>
    </row>
    <row r="254" ht="22.5" customHeight="1">
      <c r="A254" s="67" t="str">
        <f t="array" ref="A254">XLOOKUP(B254,SERVICIOS!B:B,SERVICIOS!A:A,"")</f>
        <v>S03</v>
      </c>
      <c r="B254" s="68" t="s">
        <v>142</v>
      </c>
      <c r="C254" s="69">
        <v>46073.0</v>
      </c>
      <c r="D254" s="70" t="s">
        <v>39</v>
      </c>
      <c r="E254" s="71">
        <f t="array" ref="E254">XLOOKUP($D:$D,LISTA_SERVICIOS,LISTA_PRECIOS,0)</f>
        <v>2800</v>
      </c>
      <c r="F254" s="72">
        <v>0.0</v>
      </c>
      <c r="G254" s="73">
        <v>2100.0</v>
      </c>
      <c r="H254" s="74">
        <v>0.0</v>
      </c>
      <c r="I254" s="70"/>
      <c r="J254" s="74">
        <f t="shared" si="5"/>
        <v>700</v>
      </c>
      <c r="K254" s="70" t="s">
        <v>56</v>
      </c>
      <c r="L254" s="71">
        <f t="shared" si="2"/>
        <v>700</v>
      </c>
      <c r="M254" s="76" t="str">
        <f t="shared" si="3"/>
        <v>febrero</v>
      </c>
      <c r="N254" s="76">
        <f t="shared" si="4"/>
        <v>2026</v>
      </c>
    </row>
    <row r="255" ht="22.5" customHeight="1">
      <c r="A255" s="67" t="str">
        <f t="array" ref="A255">XLOOKUP(B255,SERVICIOS!B:B,SERVICIOS!A:A,"")</f>
        <v>S02</v>
      </c>
      <c r="B255" s="68" t="s">
        <v>143</v>
      </c>
      <c r="C255" s="69">
        <v>46074.0</v>
      </c>
      <c r="D255" s="70" t="s">
        <v>75</v>
      </c>
      <c r="E255" s="71">
        <f t="array" ref="E255">XLOOKUP($D:$D,LISTA_SERVICIOS,LISTA_PRECIOS,0)</f>
        <v>800</v>
      </c>
      <c r="F255" s="72">
        <v>0.0</v>
      </c>
      <c r="G255" s="73">
        <v>0.0</v>
      </c>
      <c r="H255" s="74">
        <v>0.0</v>
      </c>
      <c r="I255" s="70"/>
      <c r="J255" s="74">
        <f t="shared" si="5"/>
        <v>800</v>
      </c>
      <c r="K255" s="70" t="s">
        <v>46</v>
      </c>
      <c r="L255" s="71">
        <f t="shared" si="2"/>
        <v>800</v>
      </c>
      <c r="M255" s="76" t="str">
        <f t="shared" si="3"/>
        <v>febrero</v>
      </c>
      <c r="N255" s="76">
        <f t="shared" si="4"/>
        <v>2026</v>
      </c>
    </row>
    <row r="256" ht="22.5" customHeight="1">
      <c r="A256" s="67" t="str">
        <f t="array" ref="A256">XLOOKUP(B256,SERVICIOS!B:B,SERVICIOS!A:A,"")</f>
        <v>S01</v>
      </c>
      <c r="B256" s="68" t="s">
        <v>140</v>
      </c>
      <c r="C256" s="69">
        <v>46074.0</v>
      </c>
      <c r="D256" s="70" t="s">
        <v>146</v>
      </c>
      <c r="E256" s="71">
        <f t="array" ref="E256">XLOOKUP($D:$D,LISTA_SERVICIOS,LISTA_PRECIOS,0)</f>
        <v>3000</v>
      </c>
      <c r="F256" s="72">
        <v>0.0</v>
      </c>
      <c r="G256" s="73">
        <v>200.0</v>
      </c>
      <c r="H256" s="74">
        <v>200.0</v>
      </c>
      <c r="I256" s="70" t="s">
        <v>46</v>
      </c>
      <c r="J256" s="74">
        <f t="shared" si="5"/>
        <v>2600</v>
      </c>
      <c r="K256" s="70" t="s">
        <v>46</v>
      </c>
      <c r="L256" s="71">
        <f t="shared" si="2"/>
        <v>2800</v>
      </c>
      <c r="M256" s="76" t="str">
        <f t="shared" si="3"/>
        <v>febrero</v>
      </c>
      <c r="N256" s="76">
        <f t="shared" si="4"/>
        <v>2026</v>
      </c>
    </row>
    <row r="257" ht="22.5" customHeight="1">
      <c r="A257" s="67" t="str">
        <f t="array" ref="A257">XLOOKUP(B257,SERVICIOS!B:B,SERVICIOS!A:A,"")</f>
        <v>S01</v>
      </c>
      <c r="B257" s="68" t="s">
        <v>140</v>
      </c>
      <c r="C257" s="69">
        <v>46074.0</v>
      </c>
      <c r="D257" s="70" t="s">
        <v>146</v>
      </c>
      <c r="E257" s="71">
        <f t="array" ref="E257">XLOOKUP($D:$D,LISTA_SERVICIOS,LISTA_PRECIOS,0)</f>
        <v>3000</v>
      </c>
      <c r="F257" s="72">
        <v>300.0</v>
      </c>
      <c r="G257" s="73">
        <v>0.0</v>
      </c>
      <c r="H257" s="74">
        <v>990.0</v>
      </c>
      <c r="I257" s="70" t="s">
        <v>46</v>
      </c>
      <c r="J257" s="74">
        <f t="shared" si="5"/>
        <v>2310</v>
      </c>
      <c r="K257" s="70" t="s">
        <v>46</v>
      </c>
      <c r="L257" s="71">
        <f t="shared" si="2"/>
        <v>3300</v>
      </c>
      <c r="M257" s="76" t="str">
        <f t="shared" si="3"/>
        <v>febrero</v>
      </c>
      <c r="N257" s="76">
        <f t="shared" si="4"/>
        <v>2026</v>
      </c>
    </row>
    <row r="258" ht="22.5" customHeight="1">
      <c r="A258" s="67" t="str">
        <f t="array" ref="A258">XLOOKUP(B258,SERVICIOS!B:B,SERVICIOS!A:A,"")</f>
        <v>S03</v>
      </c>
      <c r="B258" s="68" t="s">
        <v>142</v>
      </c>
      <c r="C258" s="69">
        <v>46074.0</v>
      </c>
      <c r="D258" s="70" t="s">
        <v>39</v>
      </c>
      <c r="E258" s="71">
        <f t="array" ref="E258">XLOOKUP($D:$D,LISTA_SERVICIOS,LISTA_PRECIOS,0)</f>
        <v>2800</v>
      </c>
      <c r="F258" s="72">
        <v>0.0</v>
      </c>
      <c r="G258" s="73">
        <v>2300.0</v>
      </c>
      <c r="H258" s="74">
        <v>0.0</v>
      </c>
      <c r="I258" s="70"/>
      <c r="J258" s="74">
        <f t="shared" si="5"/>
        <v>500</v>
      </c>
      <c r="K258" s="70" t="s">
        <v>56</v>
      </c>
      <c r="L258" s="71">
        <f t="shared" si="2"/>
        <v>500</v>
      </c>
      <c r="M258" s="76" t="str">
        <f t="shared" si="3"/>
        <v>febrero</v>
      </c>
      <c r="N258" s="76">
        <f t="shared" si="4"/>
        <v>2026</v>
      </c>
    </row>
    <row r="259" ht="22.5" customHeight="1">
      <c r="A259" s="67" t="str">
        <f t="array" ref="A259">XLOOKUP(B259,SERVICIOS!B:B,SERVICIOS!A:A,"")</f>
        <v>S02</v>
      </c>
      <c r="B259" s="68" t="s">
        <v>143</v>
      </c>
      <c r="C259" s="69">
        <v>46075.0</v>
      </c>
      <c r="D259" s="70" t="s">
        <v>53</v>
      </c>
      <c r="E259" s="71">
        <f t="array" ref="E259">XLOOKUP($D:$D,LISTA_SERVICIOS,LISTA_PRECIOS,0)</f>
        <v>650</v>
      </c>
      <c r="F259" s="72">
        <v>0.0</v>
      </c>
      <c r="G259" s="73">
        <v>200.0</v>
      </c>
      <c r="H259" s="74">
        <v>0.0</v>
      </c>
      <c r="I259" s="70"/>
      <c r="J259" s="74">
        <f t="shared" si="5"/>
        <v>450</v>
      </c>
      <c r="K259" s="70" t="s">
        <v>46</v>
      </c>
      <c r="L259" s="71">
        <f t="shared" si="2"/>
        <v>450</v>
      </c>
      <c r="M259" s="76" t="str">
        <f t="shared" si="3"/>
        <v>febrero</v>
      </c>
      <c r="N259" s="76">
        <f t="shared" si="4"/>
        <v>2026</v>
      </c>
    </row>
    <row r="260" ht="22.5" customHeight="1">
      <c r="A260" s="67" t="str">
        <f t="array" ref="A260">XLOOKUP(B260,SERVICIOS!B:B,SERVICIOS!A:A,"")</f>
        <v>S02</v>
      </c>
      <c r="B260" s="68" t="s">
        <v>143</v>
      </c>
      <c r="C260" s="69">
        <v>46075.0</v>
      </c>
      <c r="D260" s="70" t="s">
        <v>63</v>
      </c>
      <c r="E260" s="71">
        <f t="array" ref="E260">XLOOKUP($D:$D,LISTA_SERVICIOS,LISTA_PRECIOS,0)</f>
        <v>800</v>
      </c>
      <c r="F260" s="72">
        <v>0.0</v>
      </c>
      <c r="G260" s="73">
        <v>0.0</v>
      </c>
      <c r="H260" s="74">
        <v>0.0</v>
      </c>
      <c r="I260" s="70"/>
      <c r="J260" s="74">
        <f t="shared" si="5"/>
        <v>800</v>
      </c>
      <c r="K260" s="70" t="s">
        <v>46</v>
      </c>
      <c r="L260" s="71">
        <f t="shared" si="2"/>
        <v>800</v>
      </c>
      <c r="M260" s="76" t="str">
        <f t="shared" si="3"/>
        <v>febrero</v>
      </c>
      <c r="N260" s="76">
        <f t="shared" si="4"/>
        <v>2026</v>
      </c>
    </row>
    <row r="261" ht="22.5" customHeight="1">
      <c r="A261" s="67" t="str">
        <f t="array" ref="A261">XLOOKUP(B261,SERVICIOS!B:B,SERVICIOS!A:A,"")</f>
        <v>S02</v>
      </c>
      <c r="B261" s="68" t="s">
        <v>143</v>
      </c>
      <c r="C261" s="69">
        <v>46075.0</v>
      </c>
      <c r="D261" s="70" t="s">
        <v>58</v>
      </c>
      <c r="E261" s="71">
        <f t="array" ref="E261">XLOOKUP($D:$D,LISTA_SERVICIOS,LISTA_PRECIOS,0)</f>
        <v>650</v>
      </c>
      <c r="F261" s="72">
        <v>0.0</v>
      </c>
      <c r="G261" s="73">
        <v>0.0</v>
      </c>
      <c r="H261" s="74">
        <v>0.0</v>
      </c>
      <c r="I261" s="70"/>
      <c r="J261" s="74">
        <f t="shared" si="5"/>
        <v>650</v>
      </c>
      <c r="K261" s="70" t="s">
        <v>46</v>
      </c>
      <c r="L261" s="71">
        <f t="shared" si="2"/>
        <v>650</v>
      </c>
      <c r="M261" s="76" t="str">
        <f t="shared" si="3"/>
        <v>febrero</v>
      </c>
      <c r="N261" s="76">
        <f t="shared" si="4"/>
        <v>2026</v>
      </c>
    </row>
    <row r="262" ht="22.5" customHeight="1">
      <c r="A262" s="67" t="str">
        <f t="array" ref="A262">XLOOKUP(B262,SERVICIOS!B:B,SERVICIOS!A:A,"")</f>
        <v>S03</v>
      </c>
      <c r="B262" s="68" t="s">
        <v>142</v>
      </c>
      <c r="C262" s="69">
        <v>46075.0</v>
      </c>
      <c r="D262" s="70" t="s">
        <v>39</v>
      </c>
      <c r="E262" s="71">
        <f t="array" ref="E262">XLOOKUP($D:$D,LISTA_SERVICIOS,LISTA_PRECIOS,0)</f>
        <v>2800</v>
      </c>
      <c r="F262" s="72">
        <v>600.0</v>
      </c>
      <c r="G262" s="73">
        <v>300.0</v>
      </c>
      <c r="H262" s="74">
        <v>0.0</v>
      </c>
      <c r="I262" s="75"/>
      <c r="J262" s="74">
        <f t="shared" si="5"/>
        <v>3100</v>
      </c>
      <c r="K262" s="70" t="s">
        <v>46</v>
      </c>
      <c r="L262" s="71">
        <f t="shared" si="2"/>
        <v>3100</v>
      </c>
      <c r="M262" s="76" t="str">
        <f t="shared" si="3"/>
        <v>febrero</v>
      </c>
      <c r="N262" s="76">
        <f t="shared" si="4"/>
        <v>2026</v>
      </c>
    </row>
    <row r="263" ht="22.5" customHeight="1">
      <c r="A263" s="67" t="str">
        <f t="array" ref="A263">XLOOKUP(B263,SERVICIOS!B:B,SERVICIOS!A:A,"")</f>
        <v>S02</v>
      </c>
      <c r="B263" s="68" t="s">
        <v>143</v>
      </c>
      <c r="C263" s="69">
        <v>46076.0</v>
      </c>
      <c r="D263" s="70" t="s">
        <v>78</v>
      </c>
      <c r="E263" s="71">
        <f t="array" ref="E263">XLOOKUP($D:$D,LISTA_SERVICIOS,LISTA_PRECIOS,0)</f>
        <v>1000</v>
      </c>
      <c r="F263" s="72">
        <v>0.0</v>
      </c>
      <c r="G263" s="73">
        <v>0.0</v>
      </c>
      <c r="H263" s="74">
        <v>1000.0</v>
      </c>
      <c r="I263" s="70" t="s">
        <v>46</v>
      </c>
      <c r="J263" s="74">
        <f t="shared" si="5"/>
        <v>0</v>
      </c>
      <c r="K263" s="75"/>
      <c r="L263" s="71">
        <f t="shared" si="2"/>
        <v>1000</v>
      </c>
      <c r="M263" s="76" t="str">
        <f t="shared" si="3"/>
        <v>febrero</v>
      </c>
      <c r="N263" s="76">
        <f t="shared" si="4"/>
        <v>2026</v>
      </c>
    </row>
    <row r="264" ht="22.5" customHeight="1">
      <c r="A264" s="67" t="str">
        <f t="array" ref="A264">XLOOKUP(B264,SERVICIOS!B:B,SERVICIOS!A:A,"")</f>
        <v>S01</v>
      </c>
      <c r="B264" s="68" t="s">
        <v>140</v>
      </c>
      <c r="C264" s="69">
        <v>46076.0</v>
      </c>
      <c r="D264" s="70" t="s">
        <v>146</v>
      </c>
      <c r="E264" s="71">
        <f t="array" ref="E264">XLOOKUP($D:$D,LISTA_SERVICIOS,LISTA_PRECIOS,0)</f>
        <v>3000</v>
      </c>
      <c r="F264" s="72">
        <v>0.0</v>
      </c>
      <c r="G264" s="73">
        <v>0.0</v>
      </c>
      <c r="H264" s="74">
        <v>0.0</v>
      </c>
      <c r="I264" s="75"/>
      <c r="J264" s="74">
        <f t="shared" si="5"/>
        <v>3000</v>
      </c>
      <c r="K264" s="70" t="s">
        <v>46</v>
      </c>
      <c r="L264" s="71">
        <f t="shared" si="2"/>
        <v>3000</v>
      </c>
      <c r="M264" s="76" t="str">
        <f t="shared" si="3"/>
        <v>febrero</v>
      </c>
      <c r="N264" s="76">
        <f t="shared" si="4"/>
        <v>2026</v>
      </c>
    </row>
    <row r="265" ht="22.5" customHeight="1">
      <c r="A265" s="67" t="str">
        <f t="array" ref="A265">XLOOKUP(B265,SERVICIOS!B:B,SERVICIOS!A:A,"")</f>
        <v>S02</v>
      </c>
      <c r="B265" s="68" t="s">
        <v>143</v>
      </c>
      <c r="C265" s="69">
        <v>46079.0</v>
      </c>
      <c r="D265" s="70" t="s">
        <v>75</v>
      </c>
      <c r="E265" s="71">
        <f t="array" ref="E265">XLOOKUP($D:$D,LISTA_SERVICIOS,LISTA_PRECIOS,0)</f>
        <v>800</v>
      </c>
      <c r="F265" s="72">
        <v>0.0</v>
      </c>
      <c r="G265" s="73">
        <v>200.0</v>
      </c>
      <c r="H265" s="74">
        <v>400.0</v>
      </c>
      <c r="I265" s="70" t="s">
        <v>46</v>
      </c>
      <c r="J265" s="74">
        <f t="shared" si="5"/>
        <v>200</v>
      </c>
      <c r="K265" s="70" t="s">
        <v>51</v>
      </c>
      <c r="L265" s="71">
        <f t="shared" si="2"/>
        <v>600</v>
      </c>
      <c r="M265" s="76" t="str">
        <f t="shared" si="3"/>
        <v>febrero</v>
      </c>
      <c r="N265" s="76">
        <f t="shared" si="4"/>
        <v>2026</v>
      </c>
    </row>
    <row r="266" ht="22.5" customHeight="1">
      <c r="A266" s="67" t="str">
        <f t="array" ref="A266">XLOOKUP(B266,SERVICIOS!B:B,SERVICIOS!A:A,"")</f>
        <v>S02</v>
      </c>
      <c r="B266" s="68" t="s">
        <v>143</v>
      </c>
      <c r="C266" s="69">
        <v>46081.0</v>
      </c>
      <c r="D266" s="70" t="s">
        <v>63</v>
      </c>
      <c r="E266" s="71">
        <f t="array" ref="E266">XLOOKUP($D:$D,LISTA_SERVICIOS,LISTA_PRECIOS,0)</f>
        <v>800</v>
      </c>
      <c r="F266" s="72">
        <v>0.0</v>
      </c>
      <c r="G266" s="73">
        <v>0.0</v>
      </c>
      <c r="H266" s="74">
        <v>0.0</v>
      </c>
      <c r="I266" s="75"/>
      <c r="J266" s="74">
        <f t="shared" si="5"/>
        <v>800</v>
      </c>
      <c r="K266" s="70" t="s">
        <v>46</v>
      </c>
      <c r="L266" s="71">
        <f t="shared" si="2"/>
        <v>800</v>
      </c>
      <c r="M266" s="76" t="str">
        <f t="shared" si="3"/>
        <v>febrero</v>
      </c>
      <c r="N266" s="76">
        <f t="shared" si="4"/>
        <v>2026</v>
      </c>
    </row>
    <row r="267" ht="22.5" customHeight="1">
      <c r="A267" s="67" t="str">
        <f t="array" ref="A267">XLOOKUP(B267,SERVICIOS!B:B,SERVICIOS!A:A,"")</f>
        <v>S02</v>
      </c>
      <c r="B267" s="68" t="s">
        <v>143</v>
      </c>
      <c r="C267" s="69">
        <v>46081.0</v>
      </c>
      <c r="D267" s="70" t="s">
        <v>78</v>
      </c>
      <c r="E267" s="71">
        <f t="array" ref="E267">XLOOKUP($D:$D,LISTA_SERVICIOS,LISTA_PRECIOS,0)</f>
        <v>1000</v>
      </c>
      <c r="F267" s="72">
        <v>0.0</v>
      </c>
      <c r="G267" s="73">
        <v>0.0</v>
      </c>
      <c r="H267" s="74">
        <v>0.0</v>
      </c>
      <c r="I267" s="75"/>
      <c r="J267" s="74">
        <f t="shared" si="5"/>
        <v>1000</v>
      </c>
      <c r="K267" s="70" t="s">
        <v>56</v>
      </c>
      <c r="L267" s="71">
        <f t="shared" si="2"/>
        <v>1000</v>
      </c>
      <c r="M267" s="76" t="str">
        <f t="shared" si="3"/>
        <v>febrero</v>
      </c>
      <c r="N267" s="76">
        <f t="shared" si="4"/>
        <v>2026</v>
      </c>
    </row>
    <row r="268" ht="22.5" customHeight="1">
      <c r="A268" s="67" t="str">
        <f t="array" ref="A268">XLOOKUP(B268,SERVICIOS!B:B,SERVICIOS!A:A,"")</f>
        <v>S02</v>
      </c>
      <c r="B268" s="68" t="s">
        <v>143</v>
      </c>
      <c r="C268" s="69">
        <v>46081.0</v>
      </c>
      <c r="D268" s="70" t="s">
        <v>72</v>
      </c>
      <c r="E268" s="71">
        <f t="array" ref="E268">XLOOKUP($D:$D,LISTA_SERVICIOS,LISTA_PRECIOS,0)</f>
        <v>800</v>
      </c>
      <c r="F268" s="72">
        <v>0.0</v>
      </c>
      <c r="G268" s="73">
        <v>0.0</v>
      </c>
      <c r="H268" s="74">
        <v>300.0</v>
      </c>
      <c r="I268" s="70" t="s">
        <v>46</v>
      </c>
      <c r="J268" s="74">
        <f t="shared" si="5"/>
        <v>500</v>
      </c>
      <c r="K268" s="70" t="s">
        <v>56</v>
      </c>
      <c r="L268" s="71">
        <f t="shared" si="2"/>
        <v>800</v>
      </c>
      <c r="M268" s="76" t="str">
        <f t="shared" si="3"/>
        <v>febrero</v>
      </c>
      <c r="N268" s="76">
        <f t="shared" si="4"/>
        <v>2026</v>
      </c>
    </row>
    <row r="269" ht="22.5" customHeight="1">
      <c r="A269" s="67" t="str">
        <f t="array" ref="A269">XLOOKUP(B269,SERVICIOS!B:B,SERVICIOS!A:A,"")</f>
        <v>S02</v>
      </c>
      <c r="B269" s="68" t="s">
        <v>143</v>
      </c>
      <c r="C269" s="69">
        <v>46081.0</v>
      </c>
      <c r="D269" s="70" t="s">
        <v>43</v>
      </c>
      <c r="E269" s="71">
        <f t="array" ref="E269">XLOOKUP($D:$D,LISTA_SERVICIOS,LISTA_PRECIOS,0)</f>
        <v>600</v>
      </c>
      <c r="F269" s="72">
        <v>0.0</v>
      </c>
      <c r="G269" s="73">
        <v>0.0</v>
      </c>
      <c r="H269" s="74">
        <v>200.0</v>
      </c>
      <c r="I269" s="70" t="s">
        <v>46</v>
      </c>
      <c r="J269" s="74">
        <f t="shared" si="5"/>
        <v>400</v>
      </c>
      <c r="K269" s="70" t="s">
        <v>56</v>
      </c>
      <c r="L269" s="71">
        <f t="shared" si="2"/>
        <v>600</v>
      </c>
      <c r="M269" s="76" t="str">
        <f t="shared" si="3"/>
        <v>febrero</v>
      </c>
      <c r="N269" s="76">
        <f t="shared" si="4"/>
        <v>2026</v>
      </c>
    </row>
    <row r="270" ht="22.5" customHeight="1">
      <c r="A270" s="67" t="str">
        <f t="array" ref="A270">XLOOKUP(B270,SERVICIOS!B:B,SERVICIOS!A:A,"")</f>
        <v>S01</v>
      </c>
      <c r="B270" s="68" t="s">
        <v>156</v>
      </c>
      <c r="C270" s="69">
        <v>46081.0</v>
      </c>
      <c r="D270" s="70" t="s">
        <v>146</v>
      </c>
      <c r="E270" s="71">
        <f t="array" ref="E270">XLOOKUP($D:$D,LISTA_SERVICIOS,LISTA_PRECIOS,0)</f>
        <v>3000</v>
      </c>
      <c r="F270" s="72">
        <v>100.0</v>
      </c>
      <c r="G270" s="73">
        <v>0.0</v>
      </c>
      <c r="H270" s="81"/>
      <c r="I270" s="75"/>
      <c r="J270" s="74">
        <f t="shared" si="5"/>
        <v>3100</v>
      </c>
      <c r="K270" s="70" t="s">
        <v>56</v>
      </c>
      <c r="L270" s="71">
        <f t="shared" si="2"/>
        <v>3100</v>
      </c>
      <c r="M270" s="76" t="str">
        <f t="shared" si="3"/>
        <v>febrero</v>
      </c>
      <c r="N270" s="76">
        <f t="shared" si="4"/>
        <v>2026</v>
      </c>
    </row>
    <row r="271" ht="22.5" customHeight="1">
      <c r="B271" s="68" t="s">
        <v>143</v>
      </c>
      <c r="C271" s="69">
        <v>46082.0</v>
      </c>
      <c r="D271" s="70" t="s">
        <v>58</v>
      </c>
      <c r="E271" s="71">
        <f t="array" ref="E271">XLOOKUP($D:$D,LISTA_SERVICIOS,LISTA_PRECIOS,0)</f>
        <v>650</v>
      </c>
      <c r="F271" s="72">
        <v>0.0</v>
      </c>
      <c r="G271" s="73">
        <v>200.0</v>
      </c>
      <c r="H271" s="74">
        <v>0.0</v>
      </c>
      <c r="I271" s="75"/>
      <c r="J271" s="74">
        <f t="shared" si="5"/>
        <v>450</v>
      </c>
      <c r="K271" s="70" t="s">
        <v>56</v>
      </c>
      <c r="L271" s="71">
        <f t="shared" si="2"/>
        <v>450</v>
      </c>
      <c r="M271" s="76" t="str">
        <f t="shared" si="3"/>
        <v>marzo</v>
      </c>
      <c r="N271" s="76">
        <f t="shared" si="4"/>
        <v>2026</v>
      </c>
    </row>
    <row r="272" ht="22.5" customHeight="1">
      <c r="B272" s="68" t="s">
        <v>143</v>
      </c>
      <c r="C272" s="69">
        <v>46082.0</v>
      </c>
      <c r="D272" s="70" t="s">
        <v>43</v>
      </c>
      <c r="E272" s="71">
        <f t="array" ref="E272">XLOOKUP($D:$D,LISTA_SERVICIOS,LISTA_PRECIOS,0)</f>
        <v>600</v>
      </c>
      <c r="F272" s="72">
        <v>0.0</v>
      </c>
      <c r="G272" s="73">
        <v>0.0</v>
      </c>
      <c r="H272" s="74">
        <v>0.0</v>
      </c>
      <c r="I272" s="75"/>
      <c r="J272" s="74">
        <f t="shared" si="5"/>
        <v>600</v>
      </c>
      <c r="K272" s="70" t="s">
        <v>56</v>
      </c>
      <c r="L272" s="71">
        <f t="shared" si="2"/>
        <v>600</v>
      </c>
      <c r="M272" s="76" t="str">
        <f t="shared" si="3"/>
        <v>marzo</v>
      </c>
      <c r="N272" s="76">
        <f t="shared" si="4"/>
        <v>2026</v>
      </c>
    </row>
    <row r="273" ht="22.5" customHeight="1">
      <c r="B273" s="68" t="s">
        <v>156</v>
      </c>
      <c r="C273" s="69">
        <v>46082.0</v>
      </c>
      <c r="D273" s="70" t="s">
        <v>141</v>
      </c>
      <c r="E273" s="71">
        <f t="array" ref="E273">XLOOKUP($D:$D,LISTA_SERVICIOS,LISTA_PRECIOS,0)</f>
        <v>2200</v>
      </c>
      <c r="F273" s="72">
        <v>0.0</v>
      </c>
      <c r="G273" s="73">
        <v>0.0</v>
      </c>
      <c r="H273" s="74">
        <v>0.0</v>
      </c>
      <c r="I273" s="75"/>
      <c r="J273" s="74">
        <f t="shared" si="5"/>
        <v>2200</v>
      </c>
      <c r="K273" s="70" t="s">
        <v>56</v>
      </c>
      <c r="L273" s="71">
        <f t="shared" si="2"/>
        <v>2200</v>
      </c>
      <c r="M273" s="76" t="str">
        <f t="shared" si="3"/>
        <v>marzo</v>
      </c>
      <c r="N273" s="76">
        <f t="shared" si="4"/>
        <v>2026</v>
      </c>
    </row>
    <row r="274" ht="22.5" customHeight="1">
      <c r="C274" s="83"/>
      <c r="D274" s="70"/>
      <c r="E274" s="71">
        <f t="array" ref="E274">XLOOKUP($D:$D,LISTA_SERVICIOS,LISTA_PRECIOS,0)</f>
        <v>0</v>
      </c>
      <c r="F274" s="84"/>
      <c r="G274" s="85"/>
      <c r="H274" s="81"/>
      <c r="I274" s="75"/>
      <c r="J274" s="74">
        <f t="shared" si="5"/>
        <v>0</v>
      </c>
      <c r="K274" s="75"/>
      <c r="L274" s="71">
        <f t="shared" si="2"/>
        <v>0</v>
      </c>
      <c r="M274" s="76" t="str">
        <f t="shared" si="3"/>
        <v/>
      </c>
      <c r="N274" s="76" t="str">
        <f t="shared" si="4"/>
        <v/>
      </c>
    </row>
    <row r="275" ht="22.5" customHeight="1">
      <c r="C275" s="83"/>
      <c r="D275" s="70"/>
      <c r="E275" s="71">
        <f t="array" ref="E275">XLOOKUP($D:$D,LISTA_SERVICIOS,LISTA_PRECIOS,0)</f>
        <v>0</v>
      </c>
      <c r="F275" s="84"/>
      <c r="G275" s="85"/>
      <c r="H275" s="81"/>
      <c r="I275" s="75"/>
      <c r="J275" s="74">
        <f t="shared" si="5"/>
        <v>0</v>
      </c>
      <c r="K275" s="75"/>
      <c r="L275" s="71">
        <f t="shared" si="2"/>
        <v>0</v>
      </c>
      <c r="M275" s="76" t="str">
        <f t="shared" si="3"/>
        <v/>
      </c>
      <c r="N275" s="76" t="str">
        <f t="shared" si="4"/>
        <v/>
      </c>
    </row>
    <row r="276" ht="22.5" customHeight="1">
      <c r="C276" s="83"/>
      <c r="D276" s="70"/>
      <c r="E276" s="71">
        <f t="array" ref="E276">XLOOKUP($D:$D,LISTA_SERVICIOS,LISTA_PRECIOS,0)</f>
        <v>0</v>
      </c>
      <c r="F276" s="84"/>
      <c r="G276" s="85"/>
      <c r="H276" s="81"/>
      <c r="I276" s="75"/>
      <c r="J276" s="74">
        <f t="shared" si="5"/>
        <v>0</v>
      </c>
      <c r="K276" s="75"/>
      <c r="L276" s="71">
        <f t="shared" si="2"/>
        <v>0</v>
      </c>
      <c r="M276" s="76" t="str">
        <f t="shared" si="3"/>
        <v/>
      </c>
      <c r="N276" s="76" t="str">
        <f t="shared" si="4"/>
        <v/>
      </c>
    </row>
    <row r="277" ht="22.5" customHeight="1">
      <c r="C277" s="83"/>
      <c r="D277" s="70"/>
      <c r="E277" s="71">
        <f t="array" ref="E277">XLOOKUP($D:$D,LISTA_SERVICIOS,LISTA_PRECIOS,0)</f>
        <v>0</v>
      </c>
      <c r="F277" s="84"/>
      <c r="G277" s="85"/>
      <c r="H277" s="81"/>
      <c r="I277" s="75"/>
      <c r="J277" s="74">
        <f t="shared" si="5"/>
        <v>0</v>
      </c>
      <c r="K277" s="75"/>
      <c r="L277" s="71">
        <f t="shared" si="2"/>
        <v>0</v>
      </c>
      <c r="M277" s="76" t="str">
        <f t="shared" si="3"/>
        <v/>
      </c>
      <c r="N277" s="76" t="str">
        <f t="shared" si="4"/>
        <v/>
      </c>
    </row>
    <row r="278" ht="22.5" customHeight="1">
      <c r="C278" s="83"/>
      <c r="D278" s="70"/>
      <c r="E278" s="71">
        <f t="array" ref="E278">XLOOKUP($D:$D,LISTA_SERVICIOS,LISTA_PRECIOS,0)</f>
        <v>0</v>
      </c>
      <c r="F278" s="84"/>
      <c r="G278" s="85"/>
      <c r="H278" s="81"/>
      <c r="I278" s="75"/>
      <c r="J278" s="74">
        <f t="shared" si="5"/>
        <v>0</v>
      </c>
      <c r="K278" s="75"/>
      <c r="L278" s="71">
        <f t="shared" si="2"/>
        <v>0</v>
      </c>
      <c r="M278" s="76" t="str">
        <f t="shared" si="3"/>
        <v/>
      </c>
      <c r="N278" s="76" t="str">
        <f t="shared" si="4"/>
        <v/>
      </c>
    </row>
    <row r="279" ht="22.5" customHeight="1">
      <c r="C279" s="83"/>
      <c r="D279" s="70"/>
      <c r="E279" s="71">
        <f t="array" ref="E279">XLOOKUP($D:$D,LISTA_SERVICIOS,LISTA_PRECIOS,0)</f>
        <v>0</v>
      </c>
      <c r="F279" s="84"/>
      <c r="G279" s="85"/>
      <c r="H279" s="81"/>
      <c r="I279" s="75"/>
      <c r="J279" s="74">
        <f t="shared" si="5"/>
        <v>0</v>
      </c>
      <c r="K279" s="75"/>
      <c r="L279" s="71">
        <f t="shared" si="2"/>
        <v>0</v>
      </c>
      <c r="M279" s="76" t="str">
        <f t="shared" si="3"/>
        <v/>
      </c>
      <c r="N279" s="76" t="str">
        <f t="shared" si="4"/>
        <v/>
      </c>
    </row>
    <row r="280" ht="22.5" customHeight="1">
      <c r="C280" s="83"/>
      <c r="D280" s="70"/>
      <c r="E280" s="71">
        <f t="array" ref="E280">XLOOKUP($D:$D,LISTA_SERVICIOS,LISTA_PRECIOS,0)</f>
        <v>0</v>
      </c>
      <c r="F280" s="84"/>
      <c r="G280" s="85"/>
      <c r="H280" s="81"/>
      <c r="I280" s="75"/>
      <c r="J280" s="74">
        <f t="shared" si="5"/>
        <v>0</v>
      </c>
      <c r="K280" s="75"/>
      <c r="L280" s="71">
        <f t="shared" si="2"/>
        <v>0</v>
      </c>
      <c r="M280" s="76" t="str">
        <f t="shared" si="3"/>
        <v/>
      </c>
      <c r="N280" s="76" t="str">
        <f t="shared" si="4"/>
        <v/>
      </c>
    </row>
    <row r="281" ht="22.5" customHeight="1">
      <c r="C281" s="83"/>
      <c r="D281" s="70"/>
      <c r="E281" s="71">
        <f t="array" ref="E281">XLOOKUP($D:$D,LISTA_SERVICIOS,LISTA_PRECIOS,0)</f>
        <v>0</v>
      </c>
      <c r="F281" s="84"/>
      <c r="G281" s="85"/>
      <c r="H281" s="81"/>
      <c r="I281" s="75"/>
      <c r="J281" s="74">
        <f t="shared" si="5"/>
        <v>0</v>
      </c>
      <c r="K281" s="75"/>
      <c r="L281" s="71">
        <f t="shared" si="2"/>
        <v>0</v>
      </c>
      <c r="M281" s="76" t="str">
        <f t="shared" si="3"/>
        <v/>
      </c>
      <c r="N281" s="76" t="str">
        <f t="shared" si="4"/>
        <v/>
      </c>
    </row>
    <row r="282" ht="22.5" customHeight="1">
      <c r="C282" s="83"/>
      <c r="D282" s="70"/>
      <c r="E282" s="71">
        <f t="array" ref="E282">XLOOKUP($D:$D,LISTA_SERVICIOS,LISTA_PRECIOS,0)</f>
        <v>0</v>
      </c>
      <c r="F282" s="84"/>
      <c r="G282" s="85"/>
      <c r="H282" s="81"/>
      <c r="I282" s="75"/>
      <c r="J282" s="74">
        <f t="shared" si="5"/>
        <v>0</v>
      </c>
      <c r="K282" s="75"/>
      <c r="L282" s="71">
        <f t="shared" si="2"/>
        <v>0</v>
      </c>
      <c r="M282" s="76" t="str">
        <f t="shared" si="3"/>
        <v/>
      </c>
      <c r="N282" s="76" t="str">
        <f t="shared" si="4"/>
        <v/>
      </c>
    </row>
    <row r="283">
      <c r="C283" s="86"/>
      <c r="F283" s="87"/>
      <c r="G283" s="87"/>
      <c r="H283" s="46"/>
      <c r="J283" s="46"/>
    </row>
    <row r="284">
      <c r="C284" s="86"/>
      <c r="F284" s="87"/>
      <c r="G284" s="87"/>
      <c r="H284" s="46"/>
      <c r="J284" s="46"/>
    </row>
    <row r="285">
      <c r="C285" s="86"/>
      <c r="F285" s="87"/>
      <c r="G285" s="87"/>
      <c r="H285" s="46"/>
      <c r="J285" s="46"/>
    </row>
    <row r="286">
      <c r="C286" s="86"/>
      <c r="F286" s="87"/>
      <c r="G286" s="87"/>
      <c r="H286" s="46"/>
      <c r="J286" s="46"/>
    </row>
    <row r="287">
      <c r="C287" s="86"/>
      <c r="F287" s="87"/>
      <c r="G287" s="87"/>
      <c r="H287" s="46"/>
      <c r="J287" s="46"/>
    </row>
    <row r="288">
      <c r="C288" s="86"/>
      <c r="F288" s="87"/>
      <c r="G288" s="87"/>
      <c r="H288" s="46"/>
      <c r="J288" s="46"/>
    </row>
    <row r="289">
      <c r="C289" s="86"/>
      <c r="F289" s="87"/>
      <c r="G289" s="87"/>
      <c r="H289" s="46"/>
      <c r="J289" s="46"/>
    </row>
    <row r="290">
      <c r="C290" s="86"/>
      <c r="F290" s="87"/>
      <c r="G290" s="87"/>
      <c r="H290" s="46"/>
      <c r="J290" s="46"/>
    </row>
    <row r="291">
      <c r="C291" s="86"/>
      <c r="F291" s="87"/>
      <c r="G291" s="87"/>
      <c r="H291" s="46"/>
      <c r="J291" s="46"/>
    </row>
    <row r="292">
      <c r="C292" s="86"/>
      <c r="F292" s="87"/>
      <c r="G292" s="87"/>
      <c r="H292" s="46"/>
      <c r="J292" s="46"/>
    </row>
    <row r="293">
      <c r="C293" s="86"/>
      <c r="F293" s="87"/>
      <c r="G293" s="87"/>
      <c r="H293" s="46"/>
      <c r="J293" s="46"/>
    </row>
    <row r="294">
      <c r="C294" s="86"/>
      <c r="F294" s="87"/>
      <c r="G294" s="87"/>
      <c r="H294" s="46"/>
      <c r="J294" s="46"/>
    </row>
    <row r="295">
      <c r="C295" s="86"/>
      <c r="F295" s="87"/>
      <c r="G295" s="87"/>
      <c r="H295" s="46"/>
      <c r="J295" s="46"/>
    </row>
    <row r="296">
      <c r="C296" s="86"/>
      <c r="F296" s="87"/>
      <c r="G296" s="87"/>
      <c r="H296" s="46"/>
      <c r="J296" s="46"/>
    </row>
    <row r="297">
      <c r="C297" s="86"/>
      <c r="F297" s="87"/>
      <c r="G297" s="87"/>
      <c r="H297" s="46"/>
      <c r="J297" s="46"/>
    </row>
    <row r="298">
      <c r="C298" s="86"/>
      <c r="F298" s="87"/>
      <c r="G298" s="87"/>
      <c r="H298" s="46"/>
      <c r="J298" s="46"/>
    </row>
    <row r="299">
      <c r="C299" s="86"/>
      <c r="F299" s="87"/>
      <c r="G299" s="87"/>
      <c r="H299" s="46"/>
      <c r="J299" s="46"/>
    </row>
    <row r="300">
      <c r="C300" s="86"/>
      <c r="F300" s="87"/>
      <c r="G300" s="87"/>
      <c r="H300" s="46"/>
      <c r="J300" s="46"/>
    </row>
    <row r="301">
      <c r="C301" s="86"/>
      <c r="F301" s="87"/>
      <c r="G301" s="87"/>
      <c r="H301" s="46"/>
      <c r="J301" s="46"/>
    </row>
    <row r="302">
      <c r="C302" s="86"/>
      <c r="F302" s="87"/>
      <c r="G302" s="87"/>
      <c r="H302" s="46"/>
      <c r="J302" s="46"/>
    </row>
    <row r="303">
      <c r="C303" s="86"/>
      <c r="F303" s="87"/>
      <c r="G303" s="87"/>
      <c r="H303" s="46"/>
      <c r="J303" s="46"/>
    </row>
    <row r="304">
      <c r="C304" s="86"/>
      <c r="F304" s="87"/>
      <c r="G304" s="87"/>
      <c r="H304" s="46"/>
      <c r="J304" s="46"/>
    </row>
    <row r="305">
      <c r="C305" s="86"/>
      <c r="F305" s="87"/>
      <c r="G305" s="87"/>
      <c r="H305" s="46"/>
      <c r="J305" s="46"/>
    </row>
    <row r="306">
      <c r="C306" s="86"/>
      <c r="F306" s="87"/>
      <c r="G306" s="87"/>
      <c r="H306" s="46"/>
      <c r="J306" s="46"/>
    </row>
    <row r="307">
      <c r="C307" s="86"/>
      <c r="F307" s="87"/>
      <c r="G307" s="87"/>
      <c r="H307" s="46"/>
      <c r="J307" s="46"/>
    </row>
    <row r="308">
      <c r="C308" s="86"/>
      <c r="F308" s="87"/>
      <c r="G308" s="87"/>
      <c r="H308" s="46"/>
      <c r="J308" s="46"/>
    </row>
    <row r="309">
      <c r="C309" s="86"/>
      <c r="F309" s="87"/>
      <c r="G309" s="87"/>
      <c r="H309" s="46"/>
      <c r="J309" s="46"/>
    </row>
    <row r="310">
      <c r="C310" s="86"/>
      <c r="F310" s="87"/>
      <c r="G310" s="87"/>
      <c r="H310" s="46"/>
      <c r="J310" s="46"/>
    </row>
    <row r="311">
      <c r="C311" s="86"/>
      <c r="F311" s="87"/>
      <c r="G311" s="87"/>
      <c r="H311" s="46"/>
      <c r="J311" s="46"/>
    </row>
    <row r="312">
      <c r="C312" s="86"/>
      <c r="F312" s="87"/>
      <c r="G312" s="87"/>
      <c r="H312" s="46"/>
      <c r="J312" s="46"/>
    </row>
    <row r="313">
      <c r="C313" s="86"/>
      <c r="F313" s="87"/>
      <c r="G313" s="87"/>
      <c r="H313" s="46"/>
      <c r="J313" s="46"/>
    </row>
    <row r="314">
      <c r="C314" s="86"/>
      <c r="F314" s="87"/>
      <c r="G314" s="87"/>
      <c r="H314" s="46"/>
      <c r="J314" s="46"/>
    </row>
    <row r="315">
      <c r="C315" s="86"/>
      <c r="F315" s="87"/>
      <c r="G315" s="87"/>
      <c r="H315" s="46"/>
      <c r="J315" s="46"/>
    </row>
    <row r="316">
      <c r="C316" s="86"/>
      <c r="F316" s="87"/>
      <c r="G316" s="87"/>
      <c r="H316" s="46"/>
      <c r="J316" s="46"/>
    </row>
    <row r="317">
      <c r="C317" s="86"/>
      <c r="F317" s="87"/>
      <c r="G317" s="87"/>
      <c r="H317" s="46"/>
      <c r="J317" s="46"/>
    </row>
    <row r="318">
      <c r="C318" s="86"/>
      <c r="F318" s="87"/>
      <c r="G318" s="87"/>
      <c r="H318" s="46"/>
      <c r="J318" s="46"/>
    </row>
    <row r="319">
      <c r="C319" s="86"/>
      <c r="F319" s="87"/>
      <c r="G319" s="87"/>
      <c r="H319" s="46"/>
      <c r="J319" s="46"/>
    </row>
    <row r="320">
      <c r="C320" s="86"/>
      <c r="F320" s="87"/>
      <c r="G320" s="87"/>
      <c r="H320" s="46"/>
      <c r="J320" s="46"/>
    </row>
    <row r="321">
      <c r="C321" s="86"/>
      <c r="F321" s="87"/>
      <c r="G321" s="87"/>
      <c r="H321" s="46"/>
      <c r="J321" s="46"/>
    </row>
    <row r="322">
      <c r="C322" s="86"/>
      <c r="F322" s="87"/>
      <c r="G322" s="87"/>
      <c r="H322" s="46"/>
      <c r="J322" s="46"/>
    </row>
    <row r="323">
      <c r="C323" s="86"/>
      <c r="F323" s="87"/>
      <c r="G323" s="87"/>
      <c r="H323" s="46"/>
      <c r="J323" s="46"/>
    </row>
    <row r="324">
      <c r="C324" s="86"/>
      <c r="F324" s="87"/>
      <c r="G324" s="87"/>
      <c r="H324" s="46"/>
      <c r="J324" s="46"/>
    </row>
    <row r="325">
      <c r="C325" s="86"/>
      <c r="F325" s="87"/>
      <c r="G325" s="87"/>
      <c r="H325" s="46"/>
      <c r="J325" s="46"/>
    </row>
    <row r="326">
      <c r="C326" s="86"/>
      <c r="F326" s="87"/>
      <c r="G326" s="87"/>
      <c r="H326" s="46"/>
      <c r="J326" s="46"/>
    </row>
    <row r="327">
      <c r="C327" s="86"/>
      <c r="F327" s="87"/>
      <c r="G327" s="87"/>
      <c r="H327" s="46"/>
      <c r="J327" s="46"/>
    </row>
    <row r="328">
      <c r="C328" s="86"/>
      <c r="F328" s="87"/>
      <c r="G328" s="87"/>
      <c r="H328" s="46"/>
      <c r="J328" s="46"/>
    </row>
    <row r="329">
      <c r="C329" s="86"/>
      <c r="F329" s="87"/>
      <c r="G329" s="87"/>
      <c r="H329" s="46"/>
      <c r="J329" s="46"/>
    </row>
    <row r="330">
      <c r="C330" s="86"/>
      <c r="F330" s="87"/>
      <c r="G330" s="87"/>
      <c r="H330" s="46"/>
      <c r="J330" s="46"/>
    </row>
    <row r="331">
      <c r="C331" s="86"/>
      <c r="F331" s="87"/>
      <c r="G331" s="87"/>
      <c r="H331" s="46"/>
      <c r="J331" s="46"/>
    </row>
    <row r="332">
      <c r="C332" s="86"/>
      <c r="F332" s="87"/>
      <c r="G332" s="87"/>
      <c r="H332" s="46"/>
      <c r="J332" s="46"/>
    </row>
    <row r="333">
      <c r="C333" s="86"/>
      <c r="F333" s="87"/>
      <c r="G333" s="87"/>
      <c r="H333" s="46"/>
      <c r="J333" s="46"/>
    </row>
    <row r="334">
      <c r="C334" s="86"/>
      <c r="F334" s="87"/>
      <c r="G334" s="87"/>
      <c r="H334" s="46"/>
      <c r="J334" s="46"/>
    </row>
    <row r="335">
      <c r="C335" s="86"/>
      <c r="F335" s="87"/>
      <c r="G335" s="87"/>
      <c r="H335" s="46"/>
      <c r="J335" s="46"/>
    </row>
    <row r="336">
      <c r="C336" s="86"/>
      <c r="F336" s="87"/>
      <c r="G336" s="87"/>
      <c r="H336" s="46"/>
      <c r="J336" s="46"/>
    </row>
    <row r="337">
      <c r="C337" s="86"/>
      <c r="F337" s="87"/>
      <c r="G337" s="87"/>
      <c r="H337" s="46"/>
      <c r="J337" s="46"/>
    </row>
    <row r="338">
      <c r="C338" s="86"/>
      <c r="F338" s="87"/>
      <c r="G338" s="87"/>
      <c r="H338" s="46"/>
      <c r="J338" s="46"/>
    </row>
    <row r="339">
      <c r="C339" s="86"/>
      <c r="F339" s="87"/>
      <c r="G339" s="87"/>
      <c r="H339" s="46"/>
      <c r="J339" s="46"/>
    </row>
    <row r="340">
      <c r="C340" s="86"/>
      <c r="F340" s="87"/>
      <c r="G340" s="87"/>
      <c r="H340" s="46"/>
      <c r="J340" s="46"/>
    </row>
    <row r="341">
      <c r="C341" s="86"/>
      <c r="F341" s="87"/>
      <c r="G341" s="87"/>
      <c r="H341" s="46"/>
      <c r="J341" s="46"/>
    </row>
    <row r="342">
      <c r="C342" s="86"/>
      <c r="F342" s="87"/>
      <c r="G342" s="87"/>
      <c r="H342" s="46"/>
      <c r="J342" s="46"/>
    </row>
    <row r="343">
      <c r="C343" s="86"/>
      <c r="F343" s="87"/>
      <c r="G343" s="87"/>
      <c r="H343" s="46"/>
      <c r="J343" s="46"/>
    </row>
    <row r="344">
      <c r="C344" s="86"/>
      <c r="F344" s="87"/>
      <c r="G344" s="87"/>
      <c r="H344" s="46"/>
      <c r="J344" s="46"/>
    </row>
    <row r="345">
      <c r="C345" s="86"/>
      <c r="F345" s="87"/>
      <c r="G345" s="87"/>
      <c r="H345" s="46"/>
      <c r="J345" s="46"/>
    </row>
    <row r="346">
      <c r="C346" s="86"/>
      <c r="F346" s="87"/>
      <c r="G346" s="87"/>
      <c r="H346" s="46"/>
      <c r="J346" s="46"/>
    </row>
    <row r="347">
      <c r="C347" s="86"/>
      <c r="F347" s="87"/>
      <c r="G347" s="87"/>
      <c r="H347" s="46"/>
      <c r="J347" s="46"/>
    </row>
    <row r="348">
      <c r="C348" s="86"/>
      <c r="F348" s="87"/>
      <c r="G348" s="87"/>
      <c r="H348" s="46"/>
      <c r="J348" s="46"/>
    </row>
    <row r="349">
      <c r="C349" s="86"/>
      <c r="F349" s="87"/>
      <c r="G349" s="87"/>
      <c r="H349" s="46"/>
      <c r="J349" s="46"/>
    </row>
    <row r="350">
      <c r="C350" s="86"/>
      <c r="F350" s="87"/>
      <c r="G350" s="87"/>
      <c r="H350" s="46"/>
      <c r="J350" s="46"/>
    </row>
    <row r="351">
      <c r="C351" s="86"/>
      <c r="F351" s="87"/>
      <c r="G351" s="87"/>
      <c r="H351" s="46"/>
      <c r="J351" s="46"/>
    </row>
    <row r="352">
      <c r="C352" s="86"/>
      <c r="F352" s="87"/>
      <c r="G352" s="87"/>
      <c r="H352" s="46"/>
      <c r="J352" s="46"/>
    </row>
    <row r="353">
      <c r="C353" s="86"/>
      <c r="F353" s="87"/>
      <c r="G353" s="87"/>
      <c r="H353" s="46"/>
      <c r="J353" s="46"/>
    </row>
    <row r="354">
      <c r="C354" s="86"/>
      <c r="F354" s="87"/>
      <c r="G354" s="87"/>
      <c r="H354" s="46"/>
      <c r="J354" s="46"/>
    </row>
    <row r="355">
      <c r="C355" s="86"/>
      <c r="F355" s="87"/>
      <c r="G355" s="87"/>
      <c r="H355" s="46"/>
      <c r="J355" s="46"/>
    </row>
    <row r="356">
      <c r="C356" s="86"/>
      <c r="F356" s="87"/>
      <c r="G356" s="87"/>
      <c r="H356" s="46"/>
      <c r="J356" s="46"/>
    </row>
    <row r="357">
      <c r="C357" s="86"/>
      <c r="F357" s="87"/>
      <c r="G357" s="87"/>
      <c r="H357" s="46"/>
      <c r="J357" s="46"/>
    </row>
    <row r="358">
      <c r="C358" s="86"/>
      <c r="F358" s="87"/>
      <c r="G358" s="87"/>
      <c r="H358" s="46"/>
      <c r="J358" s="46"/>
    </row>
    <row r="359">
      <c r="C359" s="86"/>
      <c r="F359" s="87"/>
      <c r="G359" s="87"/>
      <c r="H359" s="46"/>
      <c r="J359" s="46"/>
    </row>
    <row r="360">
      <c r="C360" s="86"/>
      <c r="F360" s="87"/>
      <c r="G360" s="87"/>
      <c r="H360" s="46"/>
      <c r="J360" s="46"/>
    </row>
    <row r="361">
      <c r="C361" s="86"/>
      <c r="F361" s="87"/>
      <c r="G361" s="87"/>
      <c r="H361" s="46"/>
      <c r="J361" s="46"/>
    </row>
    <row r="362">
      <c r="C362" s="86"/>
      <c r="F362" s="87"/>
      <c r="G362" s="87"/>
      <c r="H362" s="46"/>
      <c r="J362" s="46"/>
    </row>
    <row r="363">
      <c r="C363" s="86"/>
      <c r="F363" s="87"/>
      <c r="G363" s="87"/>
      <c r="H363" s="46"/>
      <c r="J363" s="46"/>
    </row>
    <row r="364">
      <c r="C364" s="86"/>
      <c r="F364" s="87"/>
      <c r="G364" s="87"/>
      <c r="H364" s="46"/>
      <c r="J364" s="46"/>
    </row>
    <row r="365">
      <c r="C365" s="86"/>
      <c r="F365" s="87"/>
      <c r="G365" s="87"/>
      <c r="H365" s="46"/>
      <c r="J365" s="46"/>
    </row>
    <row r="366">
      <c r="C366" s="86"/>
      <c r="F366" s="87"/>
      <c r="G366" s="87"/>
      <c r="H366" s="46"/>
      <c r="J366" s="46"/>
    </row>
    <row r="367">
      <c r="C367" s="86"/>
      <c r="F367" s="87"/>
      <c r="G367" s="87"/>
      <c r="H367" s="46"/>
      <c r="J367" s="46"/>
    </row>
    <row r="368">
      <c r="C368" s="86"/>
      <c r="F368" s="87"/>
      <c r="G368" s="87"/>
      <c r="H368" s="46"/>
      <c r="J368" s="46"/>
    </row>
    <row r="369">
      <c r="C369" s="86"/>
      <c r="F369" s="87"/>
      <c r="G369" s="87"/>
      <c r="H369" s="46"/>
      <c r="J369" s="46"/>
    </row>
    <row r="370">
      <c r="C370" s="86"/>
      <c r="F370" s="87"/>
      <c r="G370" s="87"/>
      <c r="H370" s="46"/>
      <c r="J370" s="46"/>
    </row>
    <row r="371">
      <c r="C371" s="86"/>
      <c r="F371" s="87"/>
      <c r="G371" s="87"/>
      <c r="H371" s="46"/>
      <c r="J371" s="46"/>
    </row>
    <row r="372">
      <c r="C372" s="86"/>
      <c r="F372" s="87"/>
      <c r="G372" s="87"/>
      <c r="H372" s="46"/>
      <c r="J372" s="46"/>
    </row>
    <row r="373">
      <c r="C373" s="86"/>
      <c r="F373" s="87"/>
      <c r="G373" s="87"/>
      <c r="H373" s="46"/>
      <c r="J373" s="46"/>
    </row>
    <row r="374">
      <c r="C374" s="86"/>
      <c r="F374" s="87"/>
      <c r="G374" s="87"/>
      <c r="H374" s="46"/>
      <c r="J374" s="46"/>
    </row>
    <row r="375">
      <c r="C375" s="86"/>
      <c r="F375" s="87"/>
      <c r="G375" s="87"/>
      <c r="H375" s="46"/>
      <c r="J375" s="46"/>
    </row>
    <row r="376">
      <c r="C376" s="86"/>
      <c r="F376" s="87"/>
      <c r="G376" s="87"/>
      <c r="H376" s="46"/>
      <c r="J376" s="46"/>
    </row>
    <row r="377">
      <c r="C377" s="86"/>
      <c r="F377" s="87"/>
      <c r="G377" s="87"/>
      <c r="H377" s="46"/>
      <c r="J377" s="46"/>
    </row>
    <row r="378">
      <c r="C378" s="86"/>
      <c r="F378" s="87"/>
      <c r="G378" s="87"/>
      <c r="H378" s="46"/>
      <c r="J378" s="46"/>
    </row>
    <row r="379">
      <c r="C379" s="86"/>
      <c r="F379" s="87"/>
      <c r="G379" s="87"/>
      <c r="H379" s="46"/>
      <c r="J379" s="46"/>
    </row>
    <row r="380">
      <c r="C380" s="86"/>
      <c r="F380" s="87"/>
      <c r="G380" s="87"/>
      <c r="H380" s="46"/>
      <c r="J380" s="46"/>
    </row>
    <row r="381">
      <c r="C381" s="86"/>
      <c r="F381" s="87"/>
      <c r="G381" s="87"/>
      <c r="H381" s="46"/>
      <c r="J381" s="46"/>
    </row>
    <row r="382">
      <c r="C382" s="86"/>
      <c r="F382" s="87"/>
      <c r="G382" s="87"/>
      <c r="H382" s="46"/>
      <c r="J382" s="46"/>
    </row>
    <row r="383">
      <c r="C383" s="86"/>
      <c r="F383" s="87"/>
      <c r="G383" s="87"/>
      <c r="H383" s="46"/>
      <c r="J383" s="46"/>
    </row>
    <row r="384">
      <c r="C384" s="86"/>
      <c r="F384" s="87"/>
      <c r="G384" s="87"/>
      <c r="H384" s="46"/>
      <c r="J384" s="46"/>
    </row>
    <row r="385">
      <c r="C385" s="86"/>
      <c r="F385" s="87"/>
      <c r="G385" s="87"/>
      <c r="H385" s="46"/>
      <c r="J385" s="46"/>
    </row>
    <row r="386">
      <c r="C386" s="86"/>
      <c r="F386" s="87"/>
      <c r="G386" s="87"/>
      <c r="H386" s="46"/>
      <c r="J386" s="46"/>
    </row>
    <row r="387">
      <c r="C387" s="86"/>
      <c r="F387" s="87"/>
      <c r="G387" s="87"/>
      <c r="H387" s="46"/>
      <c r="J387" s="46"/>
    </row>
    <row r="388">
      <c r="C388" s="86"/>
      <c r="F388" s="87"/>
      <c r="G388" s="87"/>
      <c r="H388" s="46"/>
      <c r="J388" s="46"/>
    </row>
    <row r="389">
      <c r="C389" s="86"/>
      <c r="F389" s="87"/>
      <c r="G389" s="87"/>
      <c r="H389" s="46"/>
      <c r="J389" s="46"/>
    </row>
    <row r="390">
      <c r="C390" s="86"/>
      <c r="F390" s="87"/>
      <c r="G390" s="87"/>
      <c r="H390" s="46"/>
      <c r="J390" s="46"/>
    </row>
    <row r="391">
      <c r="C391" s="86"/>
      <c r="F391" s="87"/>
      <c r="G391" s="87"/>
      <c r="H391" s="46"/>
      <c r="J391" s="46"/>
    </row>
    <row r="392">
      <c r="C392" s="86"/>
      <c r="F392" s="87"/>
      <c r="G392" s="87"/>
      <c r="H392" s="46"/>
      <c r="J392" s="46"/>
    </row>
    <row r="393">
      <c r="C393" s="86"/>
      <c r="F393" s="87"/>
      <c r="G393" s="87"/>
      <c r="H393" s="46"/>
      <c r="J393" s="46"/>
    </row>
    <row r="394">
      <c r="C394" s="86"/>
      <c r="F394" s="87"/>
      <c r="G394" s="87"/>
      <c r="H394" s="46"/>
      <c r="J394" s="46"/>
    </row>
    <row r="395">
      <c r="C395" s="86"/>
      <c r="F395" s="87"/>
      <c r="G395" s="87"/>
      <c r="H395" s="46"/>
      <c r="J395" s="46"/>
    </row>
    <row r="396">
      <c r="C396" s="86"/>
      <c r="F396" s="87"/>
      <c r="G396" s="87"/>
      <c r="H396" s="46"/>
      <c r="J396" s="46"/>
    </row>
    <row r="397">
      <c r="C397" s="86"/>
      <c r="F397" s="87"/>
      <c r="G397" s="87"/>
      <c r="H397" s="46"/>
      <c r="J397" s="46"/>
    </row>
    <row r="398">
      <c r="C398" s="86"/>
      <c r="F398" s="87"/>
      <c r="G398" s="87"/>
      <c r="H398" s="46"/>
      <c r="J398" s="46"/>
    </row>
    <row r="399">
      <c r="C399" s="86"/>
      <c r="F399" s="87"/>
      <c r="G399" s="87"/>
      <c r="H399" s="46"/>
      <c r="J399" s="46"/>
    </row>
    <row r="400">
      <c r="C400" s="86"/>
      <c r="F400" s="87"/>
      <c r="G400" s="87"/>
      <c r="H400" s="46"/>
      <c r="J400" s="46"/>
    </row>
    <row r="401">
      <c r="C401" s="86"/>
      <c r="F401" s="87"/>
      <c r="G401" s="87"/>
      <c r="H401" s="46"/>
      <c r="J401" s="46"/>
    </row>
    <row r="402">
      <c r="C402" s="86"/>
      <c r="F402" s="87"/>
      <c r="G402" s="87"/>
      <c r="H402" s="46"/>
      <c r="J402" s="46"/>
    </row>
    <row r="403">
      <c r="C403" s="86"/>
      <c r="F403" s="87"/>
      <c r="G403" s="87"/>
      <c r="H403" s="46"/>
      <c r="J403" s="46"/>
    </row>
    <row r="404">
      <c r="C404" s="86"/>
      <c r="F404" s="87"/>
      <c r="G404" s="87"/>
      <c r="H404" s="46"/>
      <c r="J404" s="46"/>
    </row>
    <row r="405">
      <c r="C405" s="86"/>
      <c r="F405" s="87"/>
      <c r="G405" s="87"/>
      <c r="H405" s="46"/>
      <c r="J405" s="46"/>
    </row>
    <row r="406">
      <c r="C406" s="86"/>
      <c r="F406" s="87"/>
      <c r="G406" s="87"/>
      <c r="H406" s="46"/>
      <c r="J406" s="46"/>
    </row>
    <row r="407">
      <c r="C407" s="86"/>
      <c r="F407" s="87"/>
      <c r="G407" s="87"/>
      <c r="H407" s="46"/>
      <c r="J407" s="46"/>
    </row>
    <row r="408">
      <c r="C408" s="86"/>
      <c r="F408" s="87"/>
      <c r="G408" s="87"/>
      <c r="H408" s="46"/>
      <c r="J408" s="46"/>
    </row>
    <row r="409">
      <c r="C409" s="86"/>
      <c r="F409" s="87"/>
      <c r="G409" s="87"/>
      <c r="H409" s="46"/>
      <c r="J409" s="46"/>
    </row>
    <row r="410">
      <c r="C410" s="86"/>
      <c r="F410" s="87"/>
      <c r="G410" s="87"/>
      <c r="H410" s="46"/>
      <c r="J410" s="46"/>
    </row>
    <row r="411">
      <c r="C411" s="86"/>
      <c r="F411" s="87"/>
      <c r="G411" s="87"/>
      <c r="H411" s="46"/>
      <c r="J411" s="46"/>
    </row>
    <row r="412">
      <c r="C412" s="86"/>
      <c r="F412" s="87"/>
      <c r="G412" s="87"/>
      <c r="H412" s="46"/>
      <c r="J412" s="46"/>
    </row>
    <row r="413">
      <c r="C413" s="86"/>
      <c r="F413" s="87"/>
      <c r="G413" s="87"/>
      <c r="H413" s="46"/>
      <c r="J413" s="46"/>
    </row>
    <row r="414">
      <c r="C414" s="86"/>
      <c r="F414" s="87"/>
      <c r="G414" s="87"/>
      <c r="H414" s="46"/>
      <c r="J414" s="46"/>
    </row>
    <row r="415">
      <c r="C415" s="86"/>
      <c r="F415" s="87"/>
      <c r="G415" s="87"/>
      <c r="H415" s="46"/>
      <c r="J415" s="46"/>
    </row>
    <row r="416">
      <c r="C416" s="86"/>
      <c r="F416" s="87"/>
      <c r="G416" s="87"/>
      <c r="H416" s="46"/>
      <c r="J416" s="46"/>
    </row>
    <row r="417">
      <c r="C417" s="86"/>
      <c r="F417" s="87"/>
      <c r="G417" s="87"/>
      <c r="H417" s="46"/>
      <c r="J417" s="46"/>
    </row>
    <row r="418">
      <c r="C418" s="86"/>
      <c r="F418" s="87"/>
      <c r="G418" s="87"/>
      <c r="H418" s="46"/>
      <c r="J418" s="46"/>
    </row>
    <row r="419">
      <c r="C419" s="86"/>
      <c r="F419" s="87"/>
      <c r="G419" s="87"/>
      <c r="H419" s="46"/>
      <c r="J419" s="46"/>
    </row>
    <row r="420">
      <c r="C420" s="86"/>
      <c r="F420" s="87"/>
      <c r="G420" s="87"/>
      <c r="H420" s="46"/>
      <c r="J420" s="46"/>
    </row>
    <row r="421">
      <c r="C421" s="86"/>
      <c r="F421" s="87"/>
      <c r="G421" s="87"/>
      <c r="H421" s="46"/>
      <c r="J421" s="46"/>
    </row>
    <row r="422">
      <c r="C422" s="86"/>
      <c r="F422" s="87"/>
      <c r="G422" s="87"/>
      <c r="H422" s="46"/>
      <c r="J422" s="46"/>
    </row>
    <row r="423">
      <c r="C423" s="86"/>
      <c r="F423" s="87"/>
      <c r="G423" s="87"/>
      <c r="H423" s="46"/>
      <c r="J423" s="46"/>
    </row>
    <row r="424">
      <c r="C424" s="86"/>
      <c r="F424" s="87"/>
      <c r="G424" s="87"/>
      <c r="H424" s="46"/>
      <c r="J424" s="46"/>
    </row>
    <row r="425">
      <c r="C425" s="86"/>
      <c r="F425" s="87"/>
      <c r="G425" s="87"/>
      <c r="H425" s="46"/>
      <c r="J425" s="46"/>
    </row>
    <row r="426">
      <c r="C426" s="86"/>
      <c r="F426" s="87"/>
      <c r="G426" s="87"/>
      <c r="H426" s="46"/>
      <c r="J426" s="46"/>
    </row>
    <row r="427">
      <c r="C427" s="86"/>
      <c r="F427" s="87"/>
      <c r="G427" s="87"/>
      <c r="H427" s="46"/>
      <c r="J427" s="46"/>
    </row>
    <row r="428">
      <c r="C428" s="86"/>
      <c r="F428" s="87"/>
      <c r="G428" s="87"/>
      <c r="H428" s="46"/>
      <c r="J428" s="46"/>
    </row>
    <row r="429">
      <c r="C429" s="86"/>
      <c r="F429" s="87"/>
      <c r="G429" s="87"/>
      <c r="H429" s="46"/>
      <c r="J429" s="46"/>
    </row>
    <row r="430">
      <c r="C430" s="86"/>
      <c r="F430" s="87"/>
      <c r="G430" s="87"/>
      <c r="H430" s="46"/>
      <c r="J430" s="46"/>
    </row>
    <row r="431">
      <c r="C431" s="86"/>
      <c r="F431" s="87"/>
      <c r="G431" s="87"/>
      <c r="H431" s="46"/>
      <c r="J431" s="46"/>
    </row>
    <row r="432">
      <c r="C432" s="86"/>
      <c r="F432" s="87"/>
      <c r="G432" s="87"/>
      <c r="H432" s="46"/>
      <c r="J432" s="46"/>
    </row>
    <row r="433">
      <c r="C433" s="86"/>
      <c r="F433" s="87"/>
      <c r="G433" s="87"/>
      <c r="H433" s="46"/>
      <c r="J433" s="46"/>
    </row>
    <row r="434">
      <c r="C434" s="86"/>
      <c r="F434" s="87"/>
      <c r="G434" s="87"/>
      <c r="H434" s="46"/>
      <c r="J434" s="46"/>
    </row>
    <row r="435">
      <c r="C435" s="86"/>
      <c r="F435" s="87"/>
      <c r="G435" s="87"/>
      <c r="H435" s="46"/>
      <c r="J435" s="46"/>
    </row>
    <row r="436">
      <c r="C436" s="86"/>
      <c r="F436" s="87"/>
      <c r="G436" s="87"/>
      <c r="H436" s="46"/>
      <c r="J436" s="46"/>
    </row>
    <row r="437">
      <c r="C437" s="86"/>
      <c r="F437" s="87"/>
      <c r="G437" s="87"/>
      <c r="H437" s="46"/>
      <c r="J437" s="46"/>
    </row>
    <row r="438">
      <c r="C438" s="86"/>
      <c r="F438" s="87"/>
      <c r="G438" s="87"/>
      <c r="H438" s="46"/>
      <c r="J438" s="46"/>
    </row>
    <row r="439">
      <c r="C439" s="86"/>
      <c r="F439" s="87"/>
      <c r="G439" s="87"/>
      <c r="H439" s="46"/>
      <c r="J439" s="46"/>
    </row>
    <row r="440">
      <c r="C440" s="86"/>
      <c r="F440" s="87"/>
      <c r="G440" s="87"/>
      <c r="H440" s="46"/>
      <c r="J440" s="46"/>
    </row>
    <row r="441">
      <c r="C441" s="86"/>
      <c r="F441" s="87"/>
      <c r="G441" s="87"/>
      <c r="H441" s="46"/>
      <c r="J441" s="46"/>
    </row>
    <row r="442">
      <c r="C442" s="86"/>
      <c r="F442" s="87"/>
      <c r="G442" s="87"/>
      <c r="H442" s="46"/>
      <c r="J442" s="46"/>
    </row>
    <row r="443">
      <c r="C443" s="86"/>
      <c r="F443" s="87"/>
      <c r="G443" s="87"/>
      <c r="H443" s="46"/>
      <c r="J443" s="46"/>
    </row>
    <row r="444">
      <c r="C444" s="86"/>
      <c r="F444" s="87"/>
      <c r="G444" s="87"/>
      <c r="H444" s="46"/>
      <c r="J444" s="46"/>
    </row>
    <row r="445">
      <c r="C445" s="86"/>
      <c r="F445" s="87"/>
      <c r="G445" s="87"/>
      <c r="H445" s="46"/>
      <c r="J445" s="46"/>
    </row>
    <row r="446">
      <c r="C446" s="86"/>
      <c r="F446" s="87"/>
      <c r="G446" s="87"/>
      <c r="H446" s="46"/>
      <c r="J446" s="46"/>
    </row>
    <row r="447">
      <c r="C447" s="86"/>
      <c r="F447" s="87"/>
      <c r="G447" s="87"/>
      <c r="H447" s="46"/>
      <c r="J447" s="46"/>
    </row>
    <row r="448">
      <c r="C448" s="86"/>
      <c r="F448" s="87"/>
      <c r="G448" s="87"/>
      <c r="H448" s="46"/>
      <c r="J448" s="46"/>
    </row>
    <row r="449">
      <c r="C449" s="86"/>
      <c r="F449" s="87"/>
      <c r="G449" s="87"/>
      <c r="H449" s="46"/>
      <c r="J449" s="46"/>
    </row>
    <row r="450">
      <c r="C450" s="86"/>
      <c r="F450" s="87"/>
      <c r="G450" s="87"/>
      <c r="H450" s="46"/>
      <c r="J450" s="46"/>
    </row>
    <row r="451">
      <c r="C451" s="86"/>
      <c r="F451" s="87"/>
      <c r="G451" s="87"/>
      <c r="H451" s="46"/>
      <c r="J451" s="46"/>
    </row>
    <row r="452">
      <c r="C452" s="86"/>
      <c r="F452" s="87"/>
      <c r="G452" s="87"/>
      <c r="H452" s="46"/>
      <c r="J452" s="46"/>
    </row>
    <row r="453">
      <c r="C453" s="86"/>
      <c r="F453" s="87"/>
      <c r="G453" s="87"/>
      <c r="H453" s="46"/>
      <c r="J453" s="46"/>
    </row>
    <row r="454">
      <c r="C454" s="86"/>
      <c r="F454" s="87"/>
      <c r="G454" s="87"/>
      <c r="H454" s="46"/>
      <c r="J454" s="46"/>
    </row>
    <row r="455">
      <c r="C455" s="86"/>
      <c r="F455" s="87"/>
      <c r="G455" s="87"/>
      <c r="H455" s="46"/>
      <c r="J455" s="46"/>
    </row>
    <row r="456">
      <c r="C456" s="86"/>
      <c r="F456" s="87"/>
      <c r="G456" s="87"/>
      <c r="H456" s="46"/>
      <c r="J456" s="46"/>
    </row>
    <row r="457">
      <c r="C457" s="86"/>
      <c r="F457" s="87"/>
      <c r="G457" s="87"/>
      <c r="H457" s="46"/>
      <c r="J457" s="46"/>
    </row>
    <row r="458">
      <c r="C458" s="86"/>
      <c r="F458" s="87"/>
      <c r="G458" s="87"/>
      <c r="H458" s="46"/>
      <c r="J458" s="46"/>
    </row>
    <row r="459">
      <c r="C459" s="86"/>
      <c r="F459" s="87"/>
      <c r="G459" s="87"/>
      <c r="H459" s="46"/>
      <c r="J459" s="46"/>
    </row>
    <row r="460">
      <c r="C460" s="86"/>
      <c r="F460" s="87"/>
      <c r="G460" s="87"/>
      <c r="H460" s="46"/>
      <c r="J460" s="46"/>
    </row>
    <row r="461">
      <c r="C461" s="86"/>
      <c r="F461" s="87"/>
      <c r="G461" s="87"/>
      <c r="H461" s="46"/>
      <c r="J461" s="46"/>
    </row>
    <row r="462">
      <c r="C462" s="86"/>
      <c r="F462" s="87"/>
      <c r="G462" s="87"/>
      <c r="H462" s="46"/>
      <c r="J462" s="46"/>
    </row>
    <row r="463">
      <c r="C463" s="86"/>
      <c r="F463" s="87"/>
      <c r="G463" s="87"/>
      <c r="H463" s="46"/>
      <c r="J463" s="46"/>
    </row>
    <row r="464">
      <c r="C464" s="86"/>
      <c r="F464" s="87"/>
      <c r="G464" s="87"/>
      <c r="H464" s="46"/>
      <c r="J464" s="46"/>
    </row>
    <row r="465">
      <c r="C465" s="86"/>
      <c r="F465" s="87"/>
      <c r="G465" s="87"/>
      <c r="H465" s="46"/>
      <c r="J465" s="46"/>
    </row>
    <row r="466">
      <c r="C466" s="86"/>
      <c r="F466" s="87"/>
      <c r="G466" s="87"/>
      <c r="H466" s="46"/>
      <c r="J466" s="46"/>
    </row>
    <row r="467">
      <c r="C467" s="86"/>
      <c r="F467" s="87"/>
      <c r="G467" s="87"/>
      <c r="H467" s="46"/>
      <c r="J467" s="46"/>
    </row>
    <row r="468">
      <c r="C468" s="86"/>
      <c r="F468" s="87"/>
      <c r="G468" s="87"/>
      <c r="H468" s="46"/>
      <c r="J468" s="46"/>
    </row>
    <row r="469">
      <c r="C469" s="86"/>
      <c r="F469" s="87"/>
      <c r="G469" s="87"/>
      <c r="H469" s="46"/>
      <c r="J469" s="46"/>
    </row>
    <row r="470">
      <c r="C470" s="86"/>
      <c r="F470" s="87"/>
      <c r="G470" s="87"/>
      <c r="H470" s="46"/>
      <c r="J470" s="46"/>
    </row>
    <row r="471">
      <c r="C471" s="86"/>
      <c r="F471" s="87"/>
      <c r="G471" s="87"/>
      <c r="H471" s="46"/>
      <c r="J471" s="46"/>
    </row>
    <row r="472">
      <c r="C472" s="86"/>
      <c r="F472" s="87"/>
      <c r="G472" s="87"/>
      <c r="H472" s="46"/>
      <c r="J472" s="46"/>
    </row>
    <row r="473">
      <c r="C473" s="86"/>
      <c r="F473" s="87"/>
      <c r="G473" s="87"/>
      <c r="H473" s="46"/>
      <c r="J473" s="46"/>
    </row>
    <row r="474">
      <c r="C474" s="86"/>
      <c r="F474" s="87"/>
      <c r="G474" s="87"/>
      <c r="H474" s="46"/>
      <c r="J474" s="46"/>
    </row>
    <row r="475">
      <c r="C475" s="86"/>
      <c r="F475" s="87"/>
      <c r="G475" s="87"/>
      <c r="H475" s="46"/>
      <c r="J475" s="46"/>
    </row>
    <row r="476">
      <c r="C476" s="86"/>
      <c r="F476" s="87"/>
      <c r="G476" s="87"/>
      <c r="H476" s="46"/>
      <c r="J476" s="46"/>
    </row>
    <row r="477">
      <c r="C477" s="86"/>
      <c r="F477" s="87"/>
      <c r="G477" s="87"/>
      <c r="H477" s="46"/>
      <c r="J477" s="46"/>
    </row>
    <row r="478">
      <c r="C478" s="86"/>
      <c r="F478" s="87"/>
      <c r="G478" s="87"/>
      <c r="H478" s="46"/>
      <c r="J478" s="46"/>
    </row>
    <row r="479">
      <c r="C479" s="86"/>
      <c r="F479" s="87"/>
      <c r="G479" s="87"/>
      <c r="H479" s="46"/>
      <c r="J479" s="46"/>
    </row>
    <row r="480">
      <c r="C480" s="86"/>
      <c r="F480" s="87"/>
      <c r="G480" s="87"/>
      <c r="H480" s="46"/>
      <c r="J480" s="46"/>
    </row>
    <row r="481">
      <c r="C481" s="86"/>
      <c r="F481" s="87"/>
      <c r="G481" s="87"/>
      <c r="H481" s="46"/>
      <c r="J481" s="46"/>
    </row>
    <row r="482">
      <c r="C482" s="86"/>
      <c r="F482" s="87"/>
      <c r="G482" s="87"/>
      <c r="H482" s="46"/>
      <c r="J482" s="46"/>
    </row>
    <row r="483">
      <c r="C483" s="86"/>
      <c r="F483" s="87"/>
      <c r="G483" s="87"/>
      <c r="H483" s="46"/>
      <c r="J483" s="46"/>
    </row>
    <row r="484">
      <c r="C484" s="86"/>
      <c r="F484" s="87"/>
      <c r="G484" s="87"/>
      <c r="H484" s="46"/>
      <c r="J484" s="46"/>
    </row>
    <row r="485">
      <c r="C485" s="86"/>
      <c r="F485" s="87"/>
      <c r="G485" s="87"/>
      <c r="H485" s="46"/>
      <c r="J485" s="46"/>
    </row>
    <row r="486">
      <c r="C486" s="86"/>
      <c r="F486" s="87"/>
      <c r="G486" s="87"/>
      <c r="H486" s="46"/>
      <c r="J486" s="46"/>
    </row>
    <row r="487">
      <c r="C487" s="86"/>
      <c r="F487" s="87"/>
      <c r="G487" s="87"/>
      <c r="H487" s="46"/>
      <c r="J487" s="46"/>
    </row>
    <row r="488">
      <c r="C488" s="86"/>
      <c r="F488" s="87"/>
      <c r="G488" s="87"/>
      <c r="H488" s="46"/>
      <c r="J488" s="46"/>
    </row>
    <row r="489">
      <c r="C489" s="86"/>
      <c r="F489" s="87"/>
      <c r="G489" s="87"/>
      <c r="H489" s="46"/>
      <c r="J489" s="46"/>
    </row>
    <row r="490">
      <c r="C490" s="86"/>
      <c r="F490" s="87"/>
      <c r="G490" s="87"/>
      <c r="H490" s="46"/>
      <c r="J490" s="46"/>
    </row>
    <row r="491">
      <c r="C491" s="86"/>
      <c r="F491" s="87"/>
      <c r="G491" s="87"/>
      <c r="H491" s="46"/>
      <c r="J491" s="46"/>
    </row>
    <row r="492">
      <c r="C492" s="86"/>
      <c r="F492" s="87"/>
      <c r="G492" s="87"/>
      <c r="H492" s="46"/>
      <c r="J492" s="46"/>
    </row>
    <row r="493">
      <c r="C493" s="86"/>
      <c r="F493" s="87"/>
      <c r="G493" s="87"/>
      <c r="H493" s="46"/>
      <c r="J493" s="46"/>
    </row>
    <row r="494">
      <c r="C494" s="86"/>
      <c r="F494" s="87"/>
      <c r="G494" s="87"/>
      <c r="H494" s="46"/>
      <c r="J494" s="46"/>
    </row>
    <row r="495">
      <c r="C495" s="86"/>
      <c r="F495" s="87"/>
      <c r="G495" s="87"/>
      <c r="H495" s="46"/>
      <c r="J495" s="46"/>
    </row>
    <row r="496">
      <c r="C496" s="86"/>
      <c r="F496" s="87"/>
      <c r="G496" s="87"/>
      <c r="H496" s="46"/>
      <c r="J496" s="46"/>
    </row>
    <row r="497">
      <c r="C497" s="86"/>
      <c r="F497" s="87"/>
      <c r="G497" s="87"/>
      <c r="H497" s="46"/>
      <c r="J497" s="46"/>
    </row>
    <row r="498">
      <c r="C498" s="86"/>
      <c r="F498" s="87"/>
      <c r="G498" s="87"/>
      <c r="H498" s="46"/>
      <c r="J498" s="46"/>
    </row>
    <row r="499">
      <c r="C499" s="86"/>
      <c r="F499" s="87"/>
      <c r="G499" s="87"/>
      <c r="H499" s="46"/>
      <c r="J499" s="46"/>
    </row>
    <row r="500">
      <c r="C500" s="86"/>
      <c r="F500" s="87"/>
      <c r="G500" s="87"/>
      <c r="H500" s="46"/>
      <c r="J500" s="46"/>
    </row>
    <row r="501">
      <c r="C501" s="86"/>
      <c r="F501" s="87"/>
      <c r="G501" s="87"/>
      <c r="H501" s="46"/>
      <c r="J501" s="46"/>
    </row>
    <row r="502">
      <c r="C502" s="86"/>
      <c r="F502" s="87"/>
      <c r="G502" s="87"/>
      <c r="H502" s="46"/>
      <c r="J502" s="46"/>
    </row>
    <row r="503">
      <c r="C503" s="86"/>
      <c r="F503" s="87"/>
      <c r="G503" s="87"/>
      <c r="H503" s="46"/>
      <c r="J503" s="46"/>
    </row>
    <row r="504">
      <c r="C504" s="86"/>
      <c r="F504" s="87"/>
      <c r="G504" s="87"/>
      <c r="H504" s="46"/>
      <c r="J504" s="46"/>
    </row>
    <row r="505">
      <c r="C505" s="86"/>
      <c r="F505" s="87"/>
      <c r="G505" s="87"/>
      <c r="H505" s="46"/>
      <c r="J505" s="46"/>
    </row>
    <row r="506">
      <c r="C506" s="86"/>
      <c r="F506" s="87"/>
      <c r="G506" s="87"/>
      <c r="H506" s="46"/>
      <c r="J506" s="46"/>
    </row>
    <row r="507">
      <c r="C507" s="86"/>
      <c r="F507" s="87"/>
      <c r="G507" s="87"/>
      <c r="H507" s="46"/>
      <c r="J507" s="46"/>
    </row>
    <row r="508">
      <c r="C508" s="86"/>
      <c r="F508" s="87"/>
      <c r="G508" s="87"/>
      <c r="H508" s="46"/>
      <c r="J508" s="46"/>
    </row>
    <row r="509">
      <c r="C509" s="86"/>
      <c r="F509" s="87"/>
      <c r="G509" s="87"/>
      <c r="H509" s="46"/>
      <c r="J509" s="46"/>
    </row>
    <row r="510">
      <c r="C510" s="86"/>
      <c r="F510" s="87"/>
      <c r="G510" s="87"/>
      <c r="H510" s="46"/>
      <c r="J510" s="46"/>
    </row>
    <row r="511">
      <c r="C511" s="86"/>
      <c r="F511" s="87"/>
      <c r="G511" s="87"/>
      <c r="H511" s="46"/>
      <c r="J511" s="46"/>
    </row>
    <row r="512">
      <c r="C512" s="86"/>
      <c r="F512" s="87"/>
      <c r="G512" s="87"/>
      <c r="H512" s="46"/>
      <c r="J512" s="46"/>
    </row>
    <row r="513">
      <c r="C513" s="86"/>
      <c r="F513" s="87"/>
      <c r="G513" s="87"/>
      <c r="H513" s="46"/>
      <c r="J513" s="46"/>
    </row>
    <row r="514">
      <c r="C514" s="86"/>
      <c r="F514" s="87"/>
      <c r="G514" s="87"/>
      <c r="H514" s="46"/>
      <c r="J514" s="46"/>
    </row>
    <row r="515">
      <c r="C515" s="86"/>
      <c r="F515" s="87"/>
      <c r="G515" s="87"/>
      <c r="H515" s="46"/>
      <c r="J515" s="46"/>
    </row>
    <row r="516">
      <c r="C516" s="86"/>
      <c r="F516" s="87"/>
      <c r="G516" s="87"/>
      <c r="H516" s="46"/>
      <c r="J516" s="46"/>
    </row>
    <row r="517">
      <c r="C517" s="86"/>
      <c r="F517" s="87"/>
      <c r="G517" s="87"/>
      <c r="H517" s="46"/>
      <c r="J517" s="46"/>
    </row>
    <row r="518">
      <c r="C518" s="86"/>
      <c r="F518" s="87"/>
      <c r="G518" s="87"/>
      <c r="H518" s="46"/>
      <c r="J518" s="46"/>
    </row>
    <row r="519">
      <c r="C519" s="86"/>
      <c r="F519" s="87"/>
      <c r="G519" s="87"/>
      <c r="H519" s="46"/>
      <c r="J519" s="46"/>
    </row>
    <row r="520">
      <c r="C520" s="86"/>
      <c r="F520" s="87"/>
      <c r="G520" s="87"/>
      <c r="H520" s="46"/>
      <c r="J520" s="46"/>
    </row>
    <row r="521">
      <c r="C521" s="86"/>
      <c r="F521" s="87"/>
      <c r="G521" s="87"/>
      <c r="H521" s="46"/>
      <c r="J521" s="46"/>
    </row>
    <row r="522">
      <c r="C522" s="86"/>
      <c r="F522" s="87"/>
      <c r="G522" s="87"/>
      <c r="H522" s="46"/>
      <c r="J522" s="46"/>
    </row>
    <row r="523">
      <c r="C523" s="86"/>
      <c r="F523" s="87"/>
      <c r="G523" s="87"/>
      <c r="H523" s="46"/>
      <c r="J523" s="46"/>
    </row>
    <row r="524">
      <c r="C524" s="86"/>
      <c r="F524" s="87"/>
      <c r="G524" s="87"/>
      <c r="H524" s="46"/>
      <c r="J524" s="46"/>
    </row>
    <row r="525">
      <c r="C525" s="86"/>
      <c r="F525" s="87"/>
      <c r="G525" s="87"/>
      <c r="H525" s="46"/>
      <c r="J525" s="46"/>
    </row>
    <row r="526">
      <c r="C526" s="86"/>
      <c r="F526" s="87"/>
      <c r="G526" s="87"/>
      <c r="H526" s="46"/>
      <c r="J526" s="46"/>
    </row>
    <row r="527">
      <c r="C527" s="86"/>
      <c r="F527" s="87"/>
      <c r="G527" s="87"/>
      <c r="H527" s="46"/>
      <c r="J527" s="46"/>
    </row>
    <row r="528">
      <c r="C528" s="86"/>
      <c r="F528" s="87"/>
      <c r="G528" s="87"/>
      <c r="H528" s="46"/>
      <c r="J528" s="46"/>
    </row>
    <row r="529">
      <c r="C529" s="86"/>
      <c r="F529" s="87"/>
      <c r="G529" s="87"/>
      <c r="H529" s="46"/>
      <c r="J529" s="46"/>
    </row>
    <row r="530">
      <c r="C530" s="86"/>
      <c r="F530" s="87"/>
      <c r="G530" s="87"/>
      <c r="H530" s="46"/>
      <c r="J530" s="46"/>
    </row>
    <row r="531">
      <c r="C531" s="86"/>
      <c r="F531" s="87"/>
      <c r="G531" s="87"/>
      <c r="H531" s="46"/>
      <c r="J531" s="46"/>
    </row>
    <row r="532">
      <c r="C532" s="86"/>
      <c r="F532" s="87"/>
      <c r="G532" s="87"/>
      <c r="H532" s="46"/>
      <c r="J532" s="46"/>
    </row>
    <row r="533">
      <c r="C533" s="86"/>
      <c r="F533" s="87"/>
      <c r="G533" s="87"/>
      <c r="H533" s="46"/>
      <c r="J533" s="46"/>
    </row>
    <row r="534">
      <c r="C534" s="86"/>
      <c r="F534" s="87"/>
      <c r="G534" s="87"/>
      <c r="H534" s="46"/>
      <c r="J534" s="46"/>
    </row>
    <row r="535">
      <c r="C535" s="86"/>
      <c r="F535" s="87"/>
      <c r="G535" s="87"/>
      <c r="H535" s="46"/>
      <c r="J535" s="46"/>
    </row>
    <row r="536">
      <c r="C536" s="86"/>
      <c r="F536" s="87"/>
      <c r="G536" s="87"/>
      <c r="H536" s="46"/>
      <c r="J536" s="46"/>
    </row>
    <row r="537">
      <c r="C537" s="86"/>
      <c r="F537" s="87"/>
      <c r="G537" s="87"/>
      <c r="H537" s="46"/>
      <c r="J537" s="46"/>
    </row>
    <row r="538">
      <c r="C538" s="86"/>
      <c r="F538" s="87"/>
      <c r="G538" s="87"/>
      <c r="H538" s="46"/>
      <c r="J538" s="46"/>
    </row>
    <row r="539">
      <c r="C539" s="86"/>
      <c r="F539" s="87"/>
      <c r="G539" s="87"/>
      <c r="H539" s="46"/>
      <c r="J539" s="46"/>
    </row>
    <row r="540">
      <c r="C540" s="86"/>
      <c r="F540" s="87"/>
      <c r="G540" s="87"/>
      <c r="H540" s="46"/>
      <c r="J540" s="46"/>
    </row>
    <row r="541">
      <c r="C541" s="86"/>
      <c r="F541" s="87"/>
      <c r="G541" s="87"/>
      <c r="H541" s="46"/>
      <c r="J541" s="46"/>
    </row>
    <row r="542">
      <c r="C542" s="86"/>
      <c r="F542" s="87"/>
      <c r="G542" s="87"/>
      <c r="H542" s="46"/>
      <c r="J542" s="46"/>
    </row>
    <row r="543">
      <c r="C543" s="86"/>
      <c r="F543" s="87"/>
      <c r="G543" s="87"/>
      <c r="H543" s="46"/>
      <c r="J543" s="46"/>
    </row>
    <row r="544">
      <c r="C544" s="86"/>
      <c r="F544" s="87"/>
      <c r="G544" s="87"/>
      <c r="H544" s="46"/>
      <c r="J544" s="46"/>
    </row>
    <row r="545">
      <c r="C545" s="86"/>
      <c r="F545" s="87"/>
      <c r="G545" s="87"/>
      <c r="H545" s="46"/>
      <c r="J545" s="46"/>
    </row>
    <row r="546">
      <c r="C546" s="86"/>
      <c r="F546" s="87"/>
      <c r="G546" s="87"/>
      <c r="H546" s="46"/>
      <c r="J546" s="46"/>
    </row>
    <row r="547">
      <c r="C547" s="86"/>
      <c r="F547" s="87"/>
      <c r="G547" s="87"/>
      <c r="H547" s="46"/>
      <c r="J547" s="46"/>
    </row>
    <row r="548">
      <c r="C548" s="86"/>
      <c r="F548" s="87"/>
      <c r="G548" s="87"/>
      <c r="H548" s="46"/>
      <c r="J548" s="46"/>
    </row>
    <row r="549">
      <c r="C549" s="86"/>
      <c r="F549" s="87"/>
      <c r="G549" s="87"/>
      <c r="H549" s="46"/>
      <c r="J549" s="46"/>
    </row>
    <row r="550">
      <c r="C550" s="86"/>
      <c r="F550" s="87"/>
      <c r="G550" s="87"/>
      <c r="H550" s="46"/>
      <c r="J550" s="46"/>
    </row>
    <row r="551">
      <c r="C551" s="86"/>
      <c r="F551" s="87"/>
      <c r="G551" s="87"/>
      <c r="H551" s="46"/>
      <c r="J551" s="46"/>
    </row>
    <row r="552">
      <c r="C552" s="86"/>
      <c r="F552" s="87"/>
      <c r="G552" s="87"/>
      <c r="H552" s="46"/>
      <c r="J552" s="46"/>
    </row>
    <row r="553">
      <c r="C553" s="86"/>
      <c r="F553" s="87"/>
      <c r="G553" s="87"/>
      <c r="H553" s="46"/>
      <c r="J553" s="46"/>
    </row>
    <row r="554">
      <c r="C554" s="86"/>
      <c r="F554" s="87"/>
      <c r="G554" s="87"/>
      <c r="H554" s="46"/>
      <c r="J554" s="46"/>
    </row>
    <row r="555">
      <c r="C555" s="86"/>
      <c r="F555" s="87"/>
      <c r="G555" s="87"/>
      <c r="H555" s="46"/>
      <c r="J555" s="46"/>
    </row>
    <row r="556">
      <c r="C556" s="86"/>
      <c r="F556" s="87"/>
      <c r="G556" s="87"/>
      <c r="H556" s="46"/>
      <c r="J556" s="46"/>
    </row>
    <row r="557">
      <c r="C557" s="86"/>
      <c r="F557" s="87"/>
      <c r="G557" s="87"/>
      <c r="H557" s="46"/>
      <c r="J557" s="46"/>
    </row>
    <row r="558">
      <c r="C558" s="86"/>
      <c r="F558" s="87"/>
      <c r="G558" s="87"/>
      <c r="H558" s="46"/>
      <c r="J558" s="46"/>
    </row>
    <row r="559">
      <c r="C559" s="86"/>
      <c r="F559" s="87"/>
      <c r="G559" s="87"/>
      <c r="H559" s="46"/>
      <c r="J559" s="46"/>
    </row>
    <row r="560">
      <c r="C560" s="86"/>
      <c r="F560" s="87"/>
      <c r="G560" s="87"/>
      <c r="H560" s="46"/>
      <c r="J560" s="46"/>
    </row>
    <row r="561">
      <c r="C561" s="86"/>
      <c r="F561" s="87"/>
      <c r="G561" s="87"/>
      <c r="H561" s="46"/>
      <c r="J561" s="46"/>
    </row>
    <row r="562">
      <c r="C562" s="86"/>
      <c r="F562" s="87"/>
      <c r="G562" s="87"/>
      <c r="H562" s="46"/>
      <c r="J562" s="46"/>
    </row>
    <row r="563">
      <c r="C563" s="86"/>
      <c r="F563" s="87"/>
      <c r="G563" s="87"/>
      <c r="H563" s="46"/>
      <c r="J563" s="46"/>
    </row>
    <row r="564">
      <c r="C564" s="86"/>
      <c r="F564" s="87"/>
      <c r="G564" s="87"/>
      <c r="H564" s="46"/>
      <c r="J564" s="46"/>
    </row>
    <row r="565">
      <c r="C565" s="86"/>
      <c r="F565" s="87"/>
      <c r="G565" s="87"/>
      <c r="H565" s="46"/>
      <c r="J565" s="46"/>
    </row>
    <row r="566">
      <c r="C566" s="86"/>
      <c r="F566" s="87"/>
      <c r="G566" s="87"/>
      <c r="H566" s="46"/>
      <c r="J566" s="46"/>
    </row>
    <row r="567">
      <c r="C567" s="86"/>
      <c r="F567" s="87"/>
      <c r="G567" s="87"/>
      <c r="H567" s="46"/>
      <c r="J567" s="46"/>
    </row>
    <row r="568">
      <c r="C568" s="86"/>
      <c r="F568" s="87"/>
      <c r="G568" s="87"/>
      <c r="H568" s="46"/>
      <c r="J568" s="46"/>
    </row>
    <row r="569">
      <c r="C569" s="86"/>
      <c r="F569" s="87"/>
      <c r="G569" s="87"/>
      <c r="H569" s="46"/>
      <c r="J569" s="46"/>
    </row>
    <row r="570">
      <c r="C570" s="86"/>
      <c r="F570" s="87"/>
      <c r="G570" s="87"/>
      <c r="H570" s="46"/>
      <c r="J570" s="46"/>
    </row>
    <row r="571">
      <c r="C571" s="86"/>
      <c r="F571" s="87"/>
      <c r="G571" s="87"/>
      <c r="H571" s="46"/>
      <c r="J571" s="46"/>
    </row>
    <row r="572">
      <c r="C572" s="86"/>
      <c r="F572" s="87"/>
      <c r="G572" s="87"/>
      <c r="H572" s="46"/>
      <c r="J572" s="46"/>
    </row>
    <row r="573">
      <c r="C573" s="86"/>
      <c r="F573" s="87"/>
      <c r="G573" s="87"/>
      <c r="H573" s="46"/>
      <c r="J573" s="46"/>
    </row>
    <row r="574">
      <c r="C574" s="86"/>
      <c r="F574" s="87"/>
      <c r="G574" s="87"/>
      <c r="H574" s="46"/>
      <c r="J574" s="46"/>
    </row>
    <row r="575">
      <c r="C575" s="86"/>
      <c r="F575" s="87"/>
      <c r="G575" s="87"/>
      <c r="H575" s="46"/>
      <c r="J575" s="46"/>
    </row>
    <row r="576">
      <c r="C576" s="86"/>
      <c r="F576" s="87"/>
      <c r="G576" s="87"/>
      <c r="H576" s="46"/>
      <c r="J576" s="46"/>
    </row>
    <row r="577">
      <c r="C577" s="86"/>
      <c r="F577" s="87"/>
      <c r="G577" s="87"/>
      <c r="H577" s="46"/>
      <c r="J577" s="46"/>
    </row>
    <row r="578">
      <c r="C578" s="86"/>
      <c r="F578" s="87"/>
      <c r="G578" s="87"/>
      <c r="H578" s="46"/>
      <c r="J578" s="46"/>
    </row>
    <row r="579">
      <c r="C579" s="86"/>
      <c r="F579" s="87"/>
      <c r="G579" s="87"/>
      <c r="H579" s="46"/>
      <c r="J579" s="46"/>
    </row>
    <row r="580">
      <c r="C580" s="86"/>
      <c r="F580" s="87"/>
      <c r="G580" s="87"/>
      <c r="H580" s="46"/>
      <c r="J580" s="46"/>
    </row>
    <row r="581">
      <c r="C581" s="86"/>
      <c r="F581" s="87"/>
      <c r="G581" s="87"/>
      <c r="H581" s="46"/>
      <c r="J581" s="46"/>
    </row>
    <row r="582">
      <c r="C582" s="86"/>
      <c r="F582" s="87"/>
      <c r="G582" s="87"/>
      <c r="H582" s="46"/>
      <c r="J582" s="46"/>
    </row>
    <row r="583">
      <c r="C583" s="86"/>
      <c r="F583" s="87"/>
      <c r="G583" s="87"/>
      <c r="H583" s="46"/>
      <c r="J583" s="46"/>
    </row>
    <row r="584">
      <c r="C584" s="86"/>
      <c r="F584" s="87"/>
      <c r="G584" s="87"/>
      <c r="H584" s="46"/>
      <c r="J584" s="46"/>
    </row>
    <row r="585">
      <c r="C585" s="86"/>
      <c r="F585" s="87"/>
      <c r="G585" s="87"/>
      <c r="H585" s="46"/>
      <c r="J585" s="46"/>
    </row>
    <row r="586">
      <c r="C586" s="86"/>
      <c r="F586" s="87"/>
      <c r="G586" s="87"/>
      <c r="H586" s="46"/>
      <c r="J586" s="46"/>
    </row>
    <row r="587">
      <c r="C587" s="86"/>
      <c r="F587" s="87"/>
      <c r="G587" s="87"/>
      <c r="H587" s="46"/>
      <c r="J587" s="46"/>
    </row>
    <row r="588">
      <c r="C588" s="86"/>
      <c r="F588" s="87"/>
      <c r="G588" s="87"/>
      <c r="H588" s="46"/>
      <c r="J588" s="46"/>
    </row>
    <row r="589">
      <c r="C589" s="86"/>
      <c r="F589" s="87"/>
      <c r="G589" s="87"/>
      <c r="H589" s="46"/>
      <c r="J589" s="46"/>
    </row>
    <row r="590">
      <c r="C590" s="86"/>
      <c r="F590" s="87"/>
      <c r="G590" s="87"/>
      <c r="H590" s="46"/>
      <c r="J590" s="46"/>
    </row>
    <row r="591">
      <c r="C591" s="86"/>
      <c r="F591" s="87"/>
      <c r="G591" s="87"/>
      <c r="H591" s="46"/>
      <c r="J591" s="46"/>
    </row>
    <row r="592">
      <c r="C592" s="86"/>
      <c r="F592" s="87"/>
      <c r="G592" s="87"/>
      <c r="H592" s="46"/>
      <c r="J592" s="46"/>
    </row>
    <row r="593">
      <c r="C593" s="86"/>
      <c r="F593" s="87"/>
      <c r="G593" s="87"/>
      <c r="H593" s="46"/>
      <c r="J593" s="46"/>
    </row>
    <row r="594">
      <c r="C594" s="86"/>
      <c r="F594" s="87"/>
      <c r="G594" s="87"/>
      <c r="H594" s="46"/>
      <c r="J594" s="46"/>
    </row>
    <row r="595">
      <c r="C595" s="86"/>
      <c r="F595" s="87"/>
      <c r="G595" s="87"/>
      <c r="H595" s="46"/>
      <c r="J595" s="46"/>
    </row>
    <row r="596">
      <c r="C596" s="86"/>
      <c r="F596" s="87"/>
      <c r="G596" s="87"/>
      <c r="H596" s="46"/>
      <c r="J596" s="46"/>
    </row>
    <row r="597">
      <c r="C597" s="86"/>
      <c r="F597" s="87"/>
      <c r="G597" s="87"/>
      <c r="H597" s="46"/>
      <c r="J597" s="46"/>
    </row>
    <row r="598">
      <c r="C598" s="86"/>
      <c r="F598" s="87"/>
      <c r="G598" s="87"/>
      <c r="H598" s="46"/>
      <c r="J598" s="46"/>
    </row>
    <row r="599">
      <c r="C599" s="86"/>
      <c r="F599" s="87"/>
      <c r="G599" s="87"/>
      <c r="H599" s="46"/>
      <c r="J599" s="46"/>
    </row>
    <row r="600">
      <c r="C600" s="86"/>
      <c r="F600" s="87"/>
      <c r="G600" s="87"/>
      <c r="H600" s="46"/>
      <c r="J600" s="46"/>
    </row>
    <row r="601">
      <c r="C601" s="86"/>
      <c r="F601" s="87"/>
      <c r="G601" s="87"/>
      <c r="H601" s="46"/>
      <c r="J601" s="46"/>
    </row>
    <row r="602">
      <c r="C602" s="86"/>
      <c r="F602" s="87"/>
      <c r="G602" s="87"/>
      <c r="H602" s="46"/>
      <c r="J602" s="46"/>
    </row>
    <row r="603">
      <c r="C603" s="86"/>
      <c r="F603" s="87"/>
      <c r="G603" s="87"/>
      <c r="H603" s="46"/>
      <c r="J603" s="46"/>
    </row>
    <row r="604">
      <c r="C604" s="86"/>
      <c r="F604" s="87"/>
      <c r="G604" s="87"/>
      <c r="H604" s="46"/>
      <c r="J604" s="46"/>
    </row>
    <row r="605">
      <c r="C605" s="86"/>
      <c r="F605" s="87"/>
      <c r="G605" s="87"/>
      <c r="H605" s="46"/>
      <c r="J605" s="46"/>
    </row>
    <row r="606">
      <c r="C606" s="86"/>
      <c r="F606" s="87"/>
      <c r="G606" s="87"/>
      <c r="H606" s="46"/>
      <c r="J606" s="46"/>
    </row>
    <row r="607">
      <c r="C607" s="86"/>
      <c r="F607" s="87"/>
      <c r="G607" s="87"/>
      <c r="H607" s="46"/>
      <c r="J607" s="46"/>
    </row>
    <row r="608">
      <c r="C608" s="86"/>
      <c r="F608" s="87"/>
      <c r="G608" s="87"/>
      <c r="H608" s="46"/>
      <c r="J608" s="46"/>
    </row>
    <row r="609">
      <c r="C609" s="86"/>
      <c r="F609" s="87"/>
      <c r="G609" s="87"/>
      <c r="H609" s="46"/>
      <c r="J609" s="46"/>
    </row>
    <row r="610">
      <c r="C610" s="86"/>
      <c r="F610" s="87"/>
      <c r="G610" s="87"/>
      <c r="H610" s="46"/>
      <c r="J610" s="46"/>
    </row>
    <row r="611">
      <c r="C611" s="86"/>
      <c r="F611" s="87"/>
      <c r="G611" s="87"/>
      <c r="H611" s="46"/>
      <c r="J611" s="46"/>
    </row>
    <row r="612">
      <c r="C612" s="86"/>
      <c r="F612" s="87"/>
      <c r="G612" s="87"/>
      <c r="H612" s="46"/>
      <c r="J612" s="46"/>
    </row>
    <row r="613">
      <c r="C613" s="86"/>
      <c r="F613" s="87"/>
      <c r="G613" s="87"/>
      <c r="H613" s="46"/>
      <c r="J613" s="46"/>
    </row>
    <row r="614">
      <c r="C614" s="86"/>
      <c r="F614" s="87"/>
      <c r="G614" s="87"/>
      <c r="H614" s="46"/>
      <c r="J614" s="46"/>
    </row>
    <row r="615">
      <c r="C615" s="86"/>
      <c r="F615" s="87"/>
      <c r="G615" s="87"/>
      <c r="H615" s="46"/>
      <c r="J615" s="46"/>
    </row>
    <row r="616">
      <c r="C616" s="86"/>
      <c r="F616" s="87"/>
      <c r="G616" s="87"/>
      <c r="H616" s="46"/>
      <c r="J616" s="46"/>
    </row>
    <row r="617">
      <c r="C617" s="86"/>
      <c r="F617" s="87"/>
      <c r="G617" s="87"/>
      <c r="H617" s="46"/>
      <c r="J617" s="46"/>
    </row>
    <row r="618">
      <c r="C618" s="86"/>
      <c r="F618" s="87"/>
      <c r="G618" s="87"/>
      <c r="H618" s="46"/>
      <c r="J618" s="46"/>
    </row>
    <row r="619">
      <c r="C619" s="86"/>
      <c r="F619" s="87"/>
      <c r="G619" s="87"/>
      <c r="H619" s="46"/>
      <c r="J619" s="46"/>
    </row>
    <row r="620">
      <c r="C620" s="86"/>
      <c r="F620" s="87"/>
      <c r="G620" s="87"/>
      <c r="H620" s="46"/>
      <c r="J620" s="46"/>
    </row>
    <row r="621">
      <c r="C621" s="86"/>
      <c r="F621" s="87"/>
      <c r="G621" s="87"/>
      <c r="H621" s="46"/>
      <c r="J621" s="46"/>
    </row>
    <row r="622">
      <c r="C622" s="86"/>
      <c r="F622" s="87"/>
      <c r="G622" s="87"/>
      <c r="H622" s="46"/>
      <c r="J622" s="46"/>
    </row>
    <row r="623">
      <c r="C623" s="86"/>
      <c r="F623" s="87"/>
      <c r="G623" s="87"/>
      <c r="H623" s="46"/>
      <c r="J623" s="46"/>
    </row>
    <row r="624">
      <c r="C624" s="86"/>
      <c r="F624" s="87"/>
      <c r="G624" s="87"/>
      <c r="H624" s="46"/>
      <c r="J624" s="46"/>
    </row>
    <row r="625">
      <c r="C625" s="86"/>
      <c r="F625" s="87"/>
      <c r="G625" s="87"/>
      <c r="H625" s="46"/>
      <c r="J625" s="46"/>
    </row>
    <row r="626">
      <c r="C626" s="86"/>
      <c r="F626" s="87"/>
      <c r="G626" s="87"/>
      <c r="H626" s="46"/>
      <c r="J626" s="46"/>
    </row>
    <row r="627">
      <c r="C627" s="86"/>
      <c r="F627" s="87"/>
      <c r="G627" s="87"/>
      <c r="H627" s="46"/>
      <c r="J627" s="46"/>
    </row>
    <row r="628">
      <c r="C628" s="86"/>
      <c r="F628" s="87"/>
      <c r="G628" s="87"/>
      <c r="H628" s="46"/>
      <c r="J628" s="46"/>
    </row>
    <row r="629">
      <c r="C629" s="86"/>
      <c r="F629" s="87"/>
      <c r="G629" s="87"/>
      <c r="H629" s="46"/>
      <c r="J629" s="46"/>
    </row>
    <row r="630">
      <c r="C630" s="86"/>
      <c r="F630" s="87"/>
      <c r="G630" s="87"/>
      <c r="H630" s="46"/>
      <c r="J630" s="46"/>
    </row>
    <row r="631">
      <c r="C631" s="86"/>
      <c r="F631" s="87"/>
      <c r="G631" s="87"/>
      <c r="H631" s="46"/>
      <c r="J631" s="46"/>
    </row>
    <row r="632">
      <c r="C632" s="86"/>
      <c r="F632" s="87"/>
      <c r="G632" s="87"/>
      <c r="H632" s="46"/>
      <c r="J632" s="46"/>
    </row>
    <row r="633">
      <c r="C633" s="86"/>
      <c r="F633" s="87"/>
      <c r="G633" s="87"/>
      <c r="H633" s="46"/>
      <c r="J633" s="46"/>
    </row>
    <row r="634">
      <c r="C634" s="86"/>
      <c r="F634" s="87"/>
      <c r="G634" s="87"/>
      <c r="H634" s="46"/>
      <c r="J634" s="46"/>
    </row>
    <row r="635">
      <c r="C635" s="86"/>
      <c r="F635" s="87"/>
      <c r="G635" s="87"/>
      <c r="H635" s="46"/>
      <c r="J635" s="46"/>
    </row>
    <row r="636">
      <c r="C636" s="86"/>
      <c r="F636" s="87"/>
      <c r="G636" s="87"/>
      <c r="H636" s="46"/>
      <c r="J636" s="46"/>
    </row>
    <row r="637">
      <c r="C637" s="86"/>
      <c r="F637" s="87"/>
      <c r="G637" s="87"/>
      <c r="H637" s="46"/>
      <c r="J637" s="46"/>
    </row>
    <row r="638">
      <c r="C638" s="86"/>
      <c r="F638" s="87"/>
      <c r="G638" s="87"/>
      <c r="H638" s="46"/>
      <c r="J638" s="46"/>
    </row>
    <row r="639">
      <c r="C639" s="86"/>
      <c r="F639" s="87"/>
      <c r="G639" s="87"/>
      <c r="H639" s="46"/>
      <c r="J639" s="46"/>
    </row>
    <row r="640">
      <c r="C640" s="86"/>
      <c r="F640" s="87"/>
      <c r="G640" s="87"/>
      <c r="H640" s="46"/>
      <c r="J640" s="46"/>
    </row>
    <row r="641">
      <c r="C641" s="86"/>
      <c r="F641" s="87"/>
      <c r="G641" s="87"/>
      <c r="H641" s="46"/>
      <c r="J641" s="46"/>
    </row>
    <row r="642">
      <c r="C642" s="86"/>
      <c r="F642" s="87"/>
      <c r="G642" s="87"/>
      <c r="H642" s="46"/>
      <c r="J642" s="46"/>
    </row>
    <row r="643">
      <c r="C643" s="86"/>
      <c r="F643" s="87"/>
      <c r="G643" s="87"/>
      <c r="H643" s="46"/>
      <c r="J643" s="46"/>
    </row>
    <row r="644">
      <c r="C644" s="86"/>
      <c r="F644" s="87"/>
      <c r="G644" s="87"/>
      <c r="H644" s="46"/>
      <c r="J644" s="46"/>
    </row>
    <row r="645">
      <c r="C645" s="86"/>
      <c r="F645" s="87"/>
      <c r="G645" s="87"/>
      <c r="H645" s="46"/>
      <c r="J645" s="46"/>
    </row>
    <row r="646">
      <c r="C646" s="86"/>
      <c r="F646" s="87"/>
      <c r="G646" s="87"/>
      <c r="H646" s="46"/>
      <c r="J646" s="46"/>
    </row>
    <row r="647">
      <c r="C647" s="86"/>
      <c r="F647" s="87"/>
      <c r="G647" s="87"/>
      <c r="H647" s="46"/>
      <c r="J647" s="46"/>
    </row>
    <row r="648">
      <c r="C648" s="86"/>
      <c r="F648" s="87"/>
      <c r="G648" s="87"/>
      <c r="H648" s="46"/>
      <c r="J648" s="46"/>
    </row>
    <row r="649">
      <c r="C649" s="86"/>
      <c r="F649" s="87"/>
      <c r="G649" s="87"/>
      <c r="H649" s="46"/>
      <c r="J649" s="46"/>
    </row>
    <row r="650">
      <c r="C650" s="86"/>
      <c r="F650" s="87"/>
      <c r="G650" s="87"/>
      <c r="H650" s="46"/>
      <c r="J650" s="46"/>
    </row>
    <row r="651">
      <c r="C651" s="86"/>
      <c r="F651" s="87"/>
      <c r="G651" s="87"/>
      <c r="H651" s="46"/>
      <c r="J651" s="46"/>
    </row>
    <row r="652">
      <c r="C652" s="86"/>
      <c r="F652" s="87"/>
      <c r="G652" s="87"/>
      <c r="H652" s="46"/>
      <c r="J652" s="46"/>
    </row>
    <row r="653">
      <c r="C653" s="86"/>
      <c r="F653" s="87"/>
      <c r="G653" s="87"/>
      <c r="H653" s="46"/>
      <c r="J653" s="46"/>
    </row>
    <row r="654">
      <c r="C654" s="86"/>
      <c r="F654" s="87"/>
      <c r="G654" s="87"/>
      <c r="H654" s="46"/>
      <c r="J654" s="46"/>
    </row>
    <row r="655">
      <c r="C655" s="86"/>
      <c r="F655" s="87"/>
      <c r="G655" s="87"/>
      <c r="H655" s="46"/>
      <c r="J655" s="46"/>
    </row>
    <row r="656">
      <c r="C656" s="86"/>
      <c r="F656" s="87"/>
      <c r="G656" s="87"/>
      <c r="H656" s="46"/>
      <c r="J656" s="46"/>
    </row>
    <row r="657">
      <c r="C657" s="86"/>
      <c r="F657" s="87"/>
      <c r="G657" s="87"/>
      <c r="H657" s="46"/>
      <c r="J657" s="46"/>
    </row>
    <row r="658">
      <c r="C658" s="86"/>
      <c r="F658" s="87"/>
      <c r="G658" s="87"/>
      <c r="H658" s="46"/>
      <c r="J658" s="46"/>
    </row>
    <row r="659">
      <c r="C659" s="86"/>
      <c r="F659" s="87"/>
      <c r="G659" s="87"/>
      <c r="H659" s="46"/>
      <c r="J659" s="46"/>
    </row>
    <row r="660">
      <c r="C660" s="86"/>
      <c r="F660" s="87"/>
      <c r="G660" s="87"/>
      <c r="H660" s="46"/>
      <c r="J660" s="46"/>
    </row>
    <row r="661">
      <c r="C661" s="86"/>
      <c r="F661" s="87"/>
      <c r="G661" s="87"/>
      <c r="H661" s="46"/>
      <c r="J661" s="46"/>
    </row>
    <row r="662">
      <c r="C662" s="86"/>
      <c r="F662" s="87"/>
      <c r="G662" s="87"/>
      <c r="H662" s="46"/>
      <c r="J662" s="46"/>
    </row>
    <row r="663">
      <c r="C663" s="86"/>
      <c r="F663" s="87"/>
      <c r="G663" s="87"/>
      <c r="H663" s="46"/>
      <c r="J663" s="46"/>
    </row>
    <row r="664">
      <c r="C664" s="86"/>
      <c r="F664" s="87"/>
      <c r="G664" s="87"/>
      <c r="H664" s="46"/>
      <c r="J664" s="46"/>
    </row>
    <row r="665">
      <c r="C665" s="86"/>
      <c r="F665" s="87"/>
      <c r="G665" s="87"/>
      <c r="H665" s="46"/>
      <c r="J665" s="46"/>
    </row>
    <row r="666">
      <c r="C666" s="86"/>
      <c r="F666" s="87"/>
      <c r="G666" s="87"/>
      <c r="H666" s="46"/>
      <c r="J666" s="46"/>
    </row>
    <row r="667">
      <c r="C667" s="86"/>
      <c r="F667" s="87"/>
      <c r="G667" s="87"/>
      <c r="H667" s="46"/>
      <c r="J667" s="46"/>
    </row>
    <row r="668">
      <c r="C668" s="86"/>
      <c r="F668" s="87"/>
      <c r="G668" s="87"/>
      <c r="H668" s="46"/>
      <c r="J668" s="46"/>
    </row>
    <row r="669">
      <c r="C669" s="86"/>
      <c r="F669" s="87"/>
      <c r="G669" s="87"/>
      <c r="H669" s="46"/>
      <c r="J669" s="46"/>
    </row>
    <row r="670">
      <c r="C670" s="86"/>
      <c r="F670" s="87"/>
      <c r="G670" s="87"/>
      <c r="H670" s="46"/>
      <c r="J670" s="46"/>
    </row>
    <row r="671">
      <c r="C671" s="86"/>
      <c r="F671" s="87"/>
      <c r="G671" s="87"/>
      <c r="H671" s="46"/>
      <c r="J671" s="46"/>
    </row>
    <row r="672">
      <c r="C672" s="86"/>
      <c r="F672" s="87"/>
      <c r="G672" s="87"/>
      <c r="H672" s="46"/>
      <c r="J672" s="46"/>
    </row>
    <row r="673">
      <c r="C673" s="86"/>
      <c r="F673" s="87"/>
      <c r="G673" s="87"/>
      <c r="H673" s="46"/>
      <c r="J673" s="46"/>
    </row>
    <row r="674">
      <c r="C674" s="86"/>
      <c r="F674" s="87"/>
      <c r="G674" s="87"/>
      <c r="H674" s="46"/>
      <c r="J674" s="46"/>
    </row>
    <row r="675">
      <c r="C675" s="86"/>
      <c r="F675" s="87"/>
      <c r="G675" s="87"/>
      <c r="H675" s="46"/>
      <c r="J675" s="46"/>
    </row>
    <row r="676">
      <c r="C676" s="86"/>
      <c r="F676" s="87"/>
      <c r="G676" s="87"/>
      <c r="H676" s="46"/>
      <c r="J676" s="46"/>
    </row>
    <row r="677">
      <c r="C677" s="86"/>
      <c r="F677" s="87"/>
      <c r="G677" s="87"/>
      <c r="H677" s="46"/>
      <c r="J677" s="46"/>
    </row>
    <row r="678">
      <c r="C678" s="86"/>
      <c r="F678" s="87"/>
      <c r="G678" s="87"/>
      <c r="H678" s="46"/>
      <c r="J678" s="46"/>
    </row>
    <row r="679">
      <c r="C679" s="86"/>
      <c r="F679" s="87"/>
      <c r="G679" s="87"/>
      <c r="H679" s="46"/>
      <c r="J679" s="46"/>
    </row>
    <row r="680">
      <c r="C680" s="86"/>
      <c r="F680" s="87"/>
      <c r="G680" s="87"/>
      <c r="H680" s="46"/>
      <c r="J680" s="46"/>
    </row>
    <row r="681">
      <c r="C681" s="86"/>
      <c r="F681" s="87"/>
      <c r="G681" s="87"/>
      <c r="H681" s="46"/>
      <c r="J681" s="46"/>
    </row>
    <row r="682">
      <c r="C682" s="86"/>
      <c r="F682" s="87"/>
      <c r="G682" s="87"/>
      <c r="H682" s="46"/>
      <c r="J682" s="46"/>
    </row>
    <row r="683">
      <c r="C683" s="86"/>
      <c r="F683" s="87"/>
      <c r="G683" s="87"/>
      <c r="H683" s="46"/>
      <c r="J683" s="46"/>
    </row>
    <row r="684">
      <c r="C684" s="86"/>
      <c r="F684" s="87"/>
      <c r="G684" s="87"/>
      <c r="H684" s="46"/>
      <c r="J684" s="46"/>
    </row>
    <row r="685">
      <c r="C685" s="86"/>
      <c r="F685" s="87"/>
      <c r="G685" s="87"/>
      <c r="H685" s="46"/>
      <c r="J685" s="46"/>
    </row>
    <row r="686">
      <c r="C686" s="86"/>
      <c r="F686" s="87"/>
      <c r="G686" s="87"/>
      <c r="H686" s="46"/>
      <c r="J686" s="46"/>
    </row>
    <row r="687">
      <c r="C687" s="86"/>
      <c r="F687" s="87"/>
      <c r="G687" s="87"/>
      <c r="H687" s="46"/>
      <c r="J687" s="46"/>
    </row>
    <row r="688">
      <c r="C688" s="86"/>
      <c r="F688" s="87"/>
      <c r="G688" s="87"/>
      <c r="H688" s="46"/>
      <c r="J688" s="46"/>
    </row>
    <row r="689">
      <c r="C689" s="86"/>
      <c r="F689" s="87"/>
      <c r="G689" s="87"/>
      <c r="H689" s="46"/>
      <c r="J689" s="46"/>
    </row>
    <row r="690">
      <c r="C690" s="86"/>
      <c r="F690" s="87"/>
      <c r="G690" s="87"/>
      <c r="H690" s="46"/>
      <c r="J690" s="46"/>
    </row>
    <row r="691">
      <c r="C691" s="86"/>
      <c r="F691" s="87"/>
      <c r="G691" s="87"/>
      <c r="H691" s="46"/>
      <c r="J691" s="46"/>
    </row>
    <row r="692">
      <c r="C692" s="86"/>
      <c r="F692" s="87"/>
      <c r="G692" s="87"/>
      <c r="H692" s="46"/>
      <c r="J692" s="46"/>
    </row>
    <row r="693">
      <c r="C693" s="86"/>
      <c r="F693" s="87"/>
      <c r="G693" s="87"/>
      <c r="H693" s="46"/>
      <c r="J693" s="46"/>
    </row>
    <row r="694">
      <c r="C694" s="86"/>
      <c r="F694" s="87"/>
      <c r="G694" s="87"/>
      <c r="H694" s="46"/>
      <c r="J694" s="46"/>
    </row>
    <row r="695">
      <c r="C695" s="86"/>
      <c r="F695" s="87"/>
      <c r="G695" s="87"/>
      <c r="H695" s="46"/>
      <c r="J695" s="46"/>
    </row>
    <row r="696">
      <c r="C696" s="86"/>
      <c r="F696" s="87"/>
      <c r="G696" s="87"/>
      <c r="H696" s="46"/>
      <c r="J696" s="46"/>
    </row>
    <row r="697">
      <c r="C697" s="86"/>
      <c r="F697" s="87"/>
      <c r="G697" s="87"/>
      <c r="H697" s="46"/>
      <c r="J697" s="46"/>
    </row>
    <row r="698">
      <c r="C698" s="86"/>
      <c r="F698" s="87"/>
      <c r="G698" s="87"/>
      <c r="H698" s="46"/>
      <c r="J698" s="46"/>
    </row>
    <row r="699">
      <c r="C699" s="86"/>
      <c r="F699" s="87"/>
      <c r="G699" s="87"/>
      <c r="H699" s="46"/>
      <c r="J699" s="46"/>
    </row>
    <row r="700">
      <c r="C700" s="86"/>
      <c r="F700" s="87"/>
      <c r="G700" s="87"/>
      <c r="H700" s="46"/>
      <c r="J700" s="46"/>
    </row>
    <row r="701">
      <c r="C701" s="86"/>
      <c r="F701" s="87"/>
      <c r="G701" s="87"/>
      <c r="H701" s="46"/>
      <c r="J701" s="46"/>
    </row>
    <row r="702">
      <c r="C702" s="86"/>
      <c r="F702" s="87"/>
      <c r="G702" s="87"/>
      <c r="H702" s="46"/>
      <c r="J702" s="46"/>
    </row>
    <row r="703">
      <c r="C703" s="86"/>
      <c r="F703" s="87"/>
      <c r="G703" s="87"/>
      <c r="H703" s="46"/>
      <c r="J703" s="46"/>
    </row>
    <row r="704">
      <c r="C704" s="86"/>
      <c r="F704" s="87"/>
      <c r="G704" s="87"/>
      <c r="H704" s="46"/>
      <c r="J704" s="46"/>
    </row>
    <row r="705">
      <c r="C705" s="86"/>
      <c r="F705" s="87"/>
      <c r="G705" s="87"/>
      <c r="H705" s="46"/>
      <c r="J705" s="46"/>
    </row>
    <row r="706">
      <c r="C706" s="86"/>
      <c r="F706" s="87"/>
      <c r="G706" s="87"/>
      <c r="H706" s="46"/>
      <c r="J706" s="46"/>
    </row>
    <row r="707">
      <c r="C707" s="86"/>
      <c r="F707" s="87"/>
      <c r="G707" s="87"/>
      <c r="H707" s="46"/>
      <c r="J707" s="46"/>
    </row>
    <row r="708">
      <c r="C708" s="86"/>
      <c r="F708" s="87"/>
      <c r="G708" s="87"/>
      <c r="H708" s="46"/>
      <c r="J708" s="46"/>
    </row>
    <row r="709">
      <c r="C709" s="86"/>
      <c r="F709" s="87"/>
      <c r="G709" s="87"/>
      <c r="H709" s="46"/>
      <c r="J709" s="46"/>
    </row>
    <row r="710">
      <c r="C710" s="86"/>
      <c r="F710" s="87"/>
      <c r="G710" s="87"/>
      <c r="H710" s="46"/>
      <c r="J710" s="46"/>
    </row>
    <row r="711">
      <c r="C711" s="86"/>
      <c r="F711" s="87"/>
      <c r="G711" s="87"/>
      <c r="H711" s="46"/>
      <c r="J711" s="46"/>
    </row>
    <row r="712">
      <c r="C712" s="86"/>
      <c r="F712" s="87"/>
      <c r="G712" s="87"/>
      <c r="H712" s="46"/>
      <c r="J712" s="46"/>
    </row>
    <row r="713">
      <c r="C713" s="86"/>
      <c r="F713" s="87"/>
      <c r="G713" s="87"/>
      <c r="H713" s="46"/>
      <c r="J713" s="46"/>
    </row>
    <row r="714">
      <c r="C714" s="86"/>
      <c r="F714" s="87"/>
      <c r="G714" s="87"/>
      <c r="H714" s="46"/>
      <c r="J714" s="46"/>
    </row>
    <row r="715">
      <c r="C715" s="86"/>
      <c r="F715" s="87"/>
      <c r="G715" s="87"/>
      <c r="H715" s="46"/>
      <c r="J715" s="46"/>
    </row>
    <row r="716">
      <c r="C716" s="86"/>
      <c r="F716" s="87"/>
      <c r="G716" s="87"/>
      <c r="H716" s="46"/>
      <c r="J716" s="46"/>
    </row>
    <row r="717">
      <c r="C717" s="86"/>
      <c r="F717" s="87"/>
      <c r="G717" s="87"/>
      <c r="H717" s="46"/>
      <c r="J717" s="46"/>
    </row>
    <row r="718">
      <c r="C718" s="86"/>
      <c r="F718" s="87"/>
      <c r="G718" s="87"/>
      <c r="H718" s="46"/>
      <c r="J718" s="46"/>
    </row>
    <row r="719">
      <c r="C719" s="86"/>
      <c r="F719" s="87"/>
      <c r="G719" s="87"/>
      <c r="H719" s="46"/>
      <c r="J719" s="46"/>
    </row>
    <row r="720">
      <c r="C720" s="86"/>
      <c r="F720" s="87"/>
      <c r="G720" s="87"/>
      <c r="H720" s="46"/>
      <c r="J720" s="46"/>
    </row>
    <row r="721">
      <c r="C721" s="86"/>
      <c r="F721" s="87"/>
      <c r="G721" s="87"/>
      <c r="H721" s="46"/>
      <c r="J721" s="46"/>
    </row>
    <row r="722">
      <c r="C722" s="86"/>
      <c r="F722" s="87"/>
      <c r="G722" s="87"/>
      <c r="H722" s="46"/>
      <c r="J722" s="46"/>
    </row>
    <row r="723">
      <c r="C723" s="86"/>
      <c r="F723" s="87"/>
      <c r="G723" s="87"/>
      <c r="H723" s="46"/>
      <c r="J723" s="46"/>
    </row>
    <row r="724">
      <c r="C724" s="86"/>
      <c r="F724" s="87"/>
      <c r="G724" s="87"/>
      <c r="H724" s="46"/>
      <c r="J724" s="46"/>
    </row>
    <row r="725">
      <c r="C725" s="86"/>
      <c r="F725" s="87"/>
      <c r="G725" s="87"/>
      <c r="H725" s="46"/>
      <c r="J725" s="46"/>
    </row>
    <row r="726">
      <c r="C726" s="86"/>
      <c r="F726" s="87"/>
      <c r="G726" s="87"/>
      <c r="H726" s="46"/>
      <c r="J726" s="46"/>
    </row>
    <row r="727">
      <c r="C727" s="86"/>
      <c r="F727" s="87"/>
      <c r="G727" s="87"/>
      <c r="H727" s="46"/>
      <c r="J727" s="46"/>
    </row>
    <row r="728">
      <c r="C728" s="86"/>
      <c r="F728" s="87"/>
      <c r="G728" s="87"/>
      <c r="H728" s="46"/>
      <c r="J728" s="46"/>
    </row>
    <row r="729">
      <c r="C729" s="86"/>
      <c r="F729" s="87"/>
      <c r="G729" s="87"/>
      <c r="H729" s="46"/>
      <c r="J729" s="46"/>
    </row>
    <row r="730">
      <c r="C730" s="86"/>
      <c r="F730" s="87"/>
      <c r="G730" s="87"/>
      <c r="H730" s="46"/>
      <c r="J730" s="46"/>
    </row>
    <row r="731">
      <c r="C731" s="86"/>
      <c r="F731" s="87"/>
      <c r="G731" s="87"/>
      <c r="H731" s="46"/>
      <c r="J731" s="46"/>
    </row>
    <row r="732">
      <c r="C732" s="86"/>
      <c r="F732" s="87"/>
      <c r="G732" s="87"/>
      <c r="H732" s="46"/>
      <c r="J732" s="46"/>
    </row>
    <row r="733">
      <c r="C733" s="86"/>
      <c r="F733" s="87"/>
      <c r="G733" s="87"/>
      <c r="H733" s="46"/>
      <c r="J733" s="46"/>
    </row>
    <row r="734">
      <c r="C734" s="86"/>
      <c r="F734" s="87"/>
      <c r="G734" s="87"/>
      <c r="H734" s="46"/>
      <c r="J734" s="46"/>
    </row>
    <row r="735">
      <c r="C735" s="86"/>
      <c r="F735" s="87"/>
      <c r="G735" s="87"/>
      <c r="H735" s="46"/>
      <c r="J735" s="46"/>
    </row>
    <row r="736">
      <c r="C736" s="86"/>
      <c r="F736" s="87"/>
      <c r="G736" s="87"/>
      <c r="H736" s="46"/>
      <c r="J736" s="46"/>
    </row>
    <row r="737">
      <c r="C737" s="86"/>
      <c r="F737" s="87"/>
      <c r="G737" s="87"/>
      <c r="H737" s="46"/>
      <c r="J737" s="46"/>
    </row>
    <row r="738">
      <c r="C738" s="86"/>
      <c r="F738" s="87"/>
      <c r="G738" s="87"/>
      <c r="H738" s="46"/>
      <c r="J738" s="46"/>
    </row>
    <row r="739">
      <c r="C739" s="86"/>
      <c r="F739" s="87"/>
      <c r="G739" s="87"/>
      <c r="H739" s="46"/>
      <c r="J739" s="46"/>
    </row>
    <row r="740">
      <c r="C740" s="86"/>
      <c r="F740" s="87"/>
      <c r="G740" s="87"/>
      <c r="H740" s="46"/>
      <c r="J740" s="46"/>
    </row>
    <row r="741">
      <c r="C741" s="86"/>
      <c r="F741" s="87"/>
      <c r="G741" s="87"/>
      <c r="H741" s="46"/>
      <c r="J741" s="46"/>
    </row>
    <row r="742">
      <c r="C742" s="86"/>
      <c r="F742" s="87"/>
      <c r="G742" s="87"/>
      <c r="H742" s="46"/>
      <c r="J742" s="46"/>
    </row>
    <row r="743">
      <c r="C743" s="86"/>
      <c r="F743" s="87"/>
      <c r="G743" s="87"/>
      <c r="H743" s="46"/>
      <c r="J743" s="46"/>
    </row>
    <row r="744">
      <c r="C744" s="86"/>
      <c r="F744" s="87"/>
      <c r="G744" s="87"/>
      <c r="H744" s="46"/>
      <c r="J744" s="46"/>
    </row>
    <row r="745">
      <c r="C745" s="86"/>
      <c r="F745" s="87"/>
      <c r="G745" s="87"/>
      <c r="H745" s="46"/>
      <c r="J745" s="46"/>
    </row>
    <row r="746">
      <c r="C746" s="86"/>
      <c r="F746" s="87"/>
      <c r="G746" s="87"/>
      <c r="H746" s="46"/>
      <c r="J746" s="46"/>
    </row>
    <row r="747">
      <c r="C747" s="86"/>
      <c r="F747" s="87"/>
      <c r="G747" s="87"/>
      <c r="H747" s="46"/>
      <c r="J747" s="46"/>
    </row>
    <row r="748">
      <c r="C748" s="86"/>
      <c r="F748" s="87"/>
      <c r="G748" s="87"/>
      <c r="H748" s="46"/>
      <c r="J748" s="46"/>
    </row>
    <row r="749">
      <c r="C749" s="86"/>
      <c r="F749" s="87"/>
      <c r="G749" s="87"/>
      <c r="H749" s="46"/>
      <c r="J749" s="46"/>
    </row>
    <row r="750">
      <c r="C750" s="86"/>
      <c r="F750" s="87"/>
      <c r="G750" s="87"/>
      <c r="H750" s="46"/>
      <c r="J750" s="46"/>
    </row>
    <row r="751">
      <c r="C751" s="86"/>
      <c r="F751" s="87"/>
      <c r="G751" s="87"/>
      <c r="H751" s="46"/>
      <c r="J751" s="46"/>
    </row>
    <row r="752">
      <c r="C752" s="86"/>
      <c r="F752" s="87"/>
      <c r="G752" s="87"/>
      <c r="H752" s="46"/>
      <c r="J752" s="46"/>
    </row>
    <row r="753">
      <c r="C753" s="86"/>
      <c r="F753" s="87"/>
      <c r="G753" s="87"/>
      <c r="H753" s="46"/>
      <c r="J753" s="46"/>
    </row>
    <row r="754">
      <c r="C754" s="86"/>
      <c r="F754" s="87"/>
      <c r="G754" s="87"/>
      <c r="H754" s="46"/>
      <c r="J754" s="46"/>
    </row>
    <row r="755">
      <c r="C755" s="86"/>
      <c r="F755" s="87"/>
      <c r="G755" s="87"/>
      <c r="H755" s="46"/>
      <c r="J755" s="46"/>
    </row>
    <row r="756">
      <c r="C756" s="86"/>
      <c r="F756" s="87"/>
      <c r="G756" s="87"/>
      <c r="H756" s="46"/>
      <c r="J756" s="46"/>
    </row>
    <row r="757">
      <c r="C757" s="86"/>
      <c r="F757" s="87"/>
      <c r="G757" s="87"/>
      <c r="H757" s="46"/>
      <c r="J757" s="46"/>
    </row>
    <row r="758">
      <c r="C758" s="86"/>
      <c r="F758" s="87"/>
      <c r="G758" s="87"/>
      <c r="H758" s="46"/>
      <c r="J758" s="46"/>
    </row>
    <row r="759">
      <c r="C759" s="86"/>
      <c r="F759" s="87"/>
      <c r="G759" s="87"/>
      <c r="H759" s="46"/>
      <c r="J759" s="46"/>
    </row>
    <row r="760">
      <c r="C760" s="86"/>
      <c r="F760" s="87"/>
      <c r="G760" s="87"/>
      <c r="H760" s="46"/>
      <c r="J760" s="46"/>
    </row>
    <row r="761">
      <c r="C761" s="86"/>
      <c r="F761" s="87"/>
      <c r="G761" s="87"/>
      <c r="H761" s="46"/>
      <c r="J761" s="46"/>
    </row>
    <row r="762">
      <c r="C762" s="86"/>
      <c r="F762" s="87"/>
      <c r="G762" s="87"/>
      <c r="H762" s="46"/>
      <c r="J762" s="46"/>
    </row>
    <row r="763">
      <c r="C763" s="86"/>
      <c r="F763" s="87"/>
      <c r="G763" s="87"/>
      <c r="H763" s="46"/>
      <c r="J763" s="46"/>
    </row>
    <row r="764">
      <c r="C764" s="86"/>
      <c r="F764" s="87"/>
      <c r="G764" s="87"/>
      <c r="H764" s="46"/>
      <c r="J764" s="46"/>
    </row>
    <row r="765">
      <c r="C765" s="86"/>
      <c r="F765" s="87"/>
      <c r="G765" s="87"/>
      <c r="H765" s="46"/>
      <c r="J765" s="46"/>
    </row>
    <row r="766">
      <c r="C766" s="86"/>
      <c r="F766" s="87"/>
      <c r="G766" s="87"/>
      <c r="H766" s="46"/>
      <c r="J766" s="46"/>
    </row>
    <row r="767">
      <c r="C767" s="86"/>
      <c r="F767" s="87"/>
      <c r="G767" s="87"/>
      <c r="H767" s="46"/>
      <c r="J767" s="46"/>
    </row>
    <row r="768">
      <c r="C768" s="86"/>
      <c r="F768" s="87"/>
      <c r="G768" s="87"/>
      <c r="H768" s="46"/>
      <c r="J768" s="46"/>
    </row>
    <row r="769">
      <c r="C769" s="86"/>
      <c r="F769" s="87"/>
      <c r="G769" s="87"/>
      <c r="H769" s="46"/>
      <c r="J769" s="46"/>
    </row>
    <row r="770">
      <c r="C770" s="86"/>
      <c r="F770" s="87"/>
      <c r="G770" s="87"/>
      <c r="H770" s="46"/>
      <c r="J770" s="46"/>
    </row>
    <row r="771">
      <c r="C771" s="86"/>
      <c r="F771" s="87"/>
      <c r="G771" s="87"/>
      <c r="H771" s="46"/>
      <c r="J771" s="46"/>
    </row>
    <row r="772">
      <c r="C772" s="86"/>
      <c r="F772" s="87"/>
      <c r="G772" s="87"/>
      <c r="H772" s="46"/>
      <c r="J772" s="46"/>
    </row>
    <row r="773">
      <c r="C773" s="86"/>
      <c r="F773" s="87"/>
      <c r="G773" s="87"/>
      <c r="H773" s="46"/>
      <c r="J773" s="46"/>
    </row>
    <row r="774">
      <c r="C774" s="86"/>
      <c r="F774" s="87"/>
      <c r="G774" s="87"/>
      <c r="H774" s="46"/>
      <c r="J774" s="46"/>
    </row>
    <row r="775">
      <c r="C775" s="86"/>
      <c r="F775" s="87"/>
      <c r="G775" s="87"/>
      <c r="H775" s="46"/>
      <c r="J775" s="46"/>
    </row>
    <row r="776">
      <c r="C776" s="86"/>
      <c r="F776" s="87"/>
      <c r="G776" s="87"/>
      <c r="H776" s="46"/>
      <c r="J776" s="46"/>
    </row>
    <row r="777">
      <c r="C777" s="86"/>
      <c r="F777" s="87"/>
      <c r="G777" s="87"/>
      <c r="H777" s="46"/>
      <c r="J777" s="46"/>
    </row>
    <row r="778">
      <c r="C778" s="86"/>
      <c r="F778" s="87"/>
      <c r="G778" s="87"/>
      <c r="H778" s="46"/>
      <c r="J778" s="46"/>
    </row>
    <row r="779">
      <c r="C779" s="86"/>
      <c r="F779" s="87"/>
      <c r="G779" s="87"/>
      <c r="H779" s="46"/>
      <c r="J779" s="46"/>
    </row>
    <row r="780">
      <c r="C780" s="86"/>
      <c r="F780" s="87"/>
      <c r="G780" s="87"/>
      <c r="H780" s="46"/>
      <c r="J780" s="46"/>
    </row>
    <row r="781">
      <c r="C781" s="86"/>
      <c r="F781" s="87"/>
      <c r="G781" s="87"/>
      <c r="H781" s="46"/>
      <c r="J781" s="46"/>
    </row>
    <row r="782">
      <c r="C782" s="86"/>
      <c r="F782" s="87"/>
      <c r="G782" s="87"/>
      <c r="H782" s="46"/>
      <c r="J782" s="46"/>
    </row>
    <row r="783">
      <c r="C783" s="86"/>
      <c r="F783" s="87"/>
      <c r="G783" s="87"/>
      <c r="H783" s="46"/>
      <c r="J783" s="46"/>
    </row>
    <row r="784">
      <c r="C784" s="86"/>
      <c r="F784" s="87"/>
      <c r="G784" s="87"/>
      <c r="H784" s="46"/>
      <c r="J784" s="46"/>
    </row>
    <row r="785">
      <c r="C785" s="86"/>
      <c r="F785" s="87"/>
      <c r="G785" s="87"/>
      <c r="H785" s="46"/>
      <c r="J785" s="46"/>
    </row>
    <row r="786">
      <c r="C786" s="86"/>
      <c r="F786" s="87"/>
      <c r="G786" s="87"/>
      <c r="H786" s="46"/>
      <c r="J786" s="46"/>
    </row>
    <row r="787">
      <c r="C787" s="86"/>
      <c r="F787" s="87"/>
      <c r="G787" s="87"/>
      <c r="H787" s="46"/>
      <c r="J787" s="46"/>
    </row>
    <row r="788">
      <c r="C788" s="86"/>
      <c r="F788" s="87"/>
      <c r="G788" s="87"/>
      <c r="H788" s="46"/>
      <c r="J788" s="46"/>
    </row>
    <row r="789">
      <c r="C789" s="86"/>
      <c r="F789" s="87"/>
      <c r="G789" s="87"/>
      <c r="H789" s="46"/>
      <c r="J789" s="46"/>
    </row>
    <row r="790">
      <c r="C790" s="86"/>
      <c r="F790" s="87"/>
      <c r="G790" s="87"/>
      <c r="H790" s="46"/>
      <c r="J790" s="46"/>
    </row>
    <row r="791">
      <c r="C791" s="86"/>
      <c r="F791" s="87"/>
      <c r="G791" s="87"/>
      <c r="H791" s="46"/>
      <c r="J791" s="46"/>
    </row>
    <row r="792">
      <c r="C792" s="86"/>
      <c r="F792" s="87"/>
      <c r="G792" s="87"/>
      <c r="H792" s="46"/>
      <c r="J792" s="46"/>
    </row>
    <row r="793">
      <c r="C793" s="86"/>
      <c r="F793" s="87"/>
      <c r="G793" s="87"/>
      <c r="H793" s="46"/>
      <c r="J793" s="46"/>
    </row>
    <row r="794">
      <c r="C794" s="86"/>
      <c r="F794" s="87"/>
      <c r="G794" s="87"/>
      <c r="H794" s="46"/>
      <c r="J794" s="46"/>
    </row>
    <row r="795">
      <c r="C795" s="86"/>
      <c r="F795" s="87"/>
      <c r="G795" s="87"/>
      <c r="H795" s="46"/>
      <c r="J795" s="46"/>
    </row>
    <row r="796">
      <c r="C796" s="86"/>
      <c r="F796" s="87"/>
      <c r="G796" s="87"/>
      <c r="H796" s="46"/>
      <c r="J796" s="46"/>
    </row>
    <row r="797">
      <c r="C797" s="86"/>
      <c r="F797" s="87"/>
      <c r="G797" s="87"/>
      <c r="H797" s="46"/>
      <c r="J797" s="46"/>
    </row>
    <row r="798">
      <c r="C798" s="86"/>
      <c r="F798" s="87"/>
      <c r="G798" s="87"/>
      <c r="H798" s="46"/>
      <c r="J798" s="46"/>
    </row>
    <row r="799">
      <c r="C799" s="86"/>
      <c r="F799" s="87"/>
      <c r="G799" s="87"/>
      <c r="H799" s="46"/>
      <c r="J799" s="46"/>
    </row>
    <row r="800">
      <c r="C800" s="86"/>
      <c r="F800" s="87"/>
      <c r="G800" s="87"/>
      <c r="H800" s="46"/>
      <c r="J800" s="46"/>
    </row>
    <row r="801">
      <c r="C801" s="86"/>
      <c r="F801" s="87"/>
      <c r="G801" s="87"/>
      <c r="H801" s="46"/>
      <c r="J801" s="46"/>
    </row>
    <row r="802">
      <c r="C802" s="86"/>
      <c r="F802" s="87"/>
      <c r="G802" s="87"/>
      <c r="H802" s="46"/>
      <c r="J802" s="46"/>
    </row>
    <row r="803">
      <c r="C803" s="86"/>
      <c r="F803" s="87"/>
      <c r="G803" s="87"/>
      <c r="H803" s="46"/>
      <c r="J803" s="46"/>
    </row>
    <row r="804">
      <c r="C804" s="86"/>
      <c r="F804" s="87"/>
      <c r="G804" s="87"/>
      <c r="H804" s="46"/>
      <c r="J804" s="46"/>
    </row>
    <row r="805">
      <c r="C805" s="86"/>
      <c r="F805" s="87"/>
      <c r="G805" s="87"/>
      <c r="H805" s="46"/>
      <c r="J805" s="46"/>
    </row>
    <row r="806">
      <c r="C806" s="86"/>
      <c r="F806" s="87"/>
      <c r="G806" s="87"/>
      <c r="H806" s="46"/>
      <c r="J806" s="46"/>
    </row>
    <row r="807">
      <c r="C807" s="86"/>
      <c r="F807" s="87"/>
      <c r="G807" s="87"/>
      <c r="H807" s="46"/>
      <c r="J807" s="46"/>
    </row>
    <row r="808">
      <c r="C808" s="86"/>
      <c r="F808" s="87"/>
      <c r="G808" s="87"/>
      <c r="H808" s="46"/>
      <c r="J808" s="46"/>
    </row>
    <row r="809">
      <c r="C809" s="86"/>
      <c r="F809" s="87"/>
      <c r="G809" s="87"/>
      <c r="H809" s="46"/>
      <c r="J809" s="46"/>
    </row>
    <row r="810">
      <c r="C810" s="86"/>
      <c r="F810" s="87"/>
      <c r="G810" s="87"/>
      <c r="H810" s="46"/>
      <c r="J810" s="46"/>
    </row>
    <row r="811">
      <c r="C811" s="86"/>
      <c r="F811" s="87"/>
      <c r="G811" s="87"/>
      <c r="H811" s="46"/>
      <c r="J811" s="46"/>
    </row>
    <row r="812">
      <c r="C812" s="86"/>
      <c r="F812" s="87"/>
      <c r="G812" s="87"/>
      <c r="H812" s="46"/>
      <c r="J812" s="46"/>
    </row>
    <row r="813">
      <c r="C813" s="86"/>
      <c r="F813" s="87"/>
      <c r="G813" s="87"/>
      <c r="H813" s="46"/>
      <c r="J813" s="46"/>
    </row>
    <row r="814">
      <c r="C814" s="86"/>
      <c r="F814" s="87"/>
      <c r="G814" s="87"/>
      <c r="H814" s="46"/>
      <c r="J814" s="46"/>
    </row>
    <row r="815">
      <c r="C815" s="86"/>
      <c r="F815" s="87"/>
      <c r="G815" s="87"/>
      <c r="H815" s="46"/>
      <c r="J815" s="46"/>
    </row>
    <row r="816">
      <c r="C816" s="86"/>
      <c r="F816" s="87"/>
      <c r="G816" s="87"/>
      <c r="H816" s="46"/>
      <c r="J816" s="46"/>
    </row>
    <row r="817">
      <c r="C817" s="86"/>
      <c r="F817" s="87"/>
      <c r="G817" s="87"/>
      <c r="H817" s="46"/>
      <c r="J817" s="46"/>
    </row>
    <row r="818">
      <c r="C818" s="86"/>
      <c r="F818" s="87"/>
      <c r="G818" s="87"/>
      <c r="H818" s="46"/>
      <c r="J818" s="46"/>
    </row>
    <row r="819">
      <c r="C819" s="86"/>
      <c r="F819" s="87"/>
      <c r="G819" s="87"/>
      <c r="H819" s="46"/>
      <c r="J819" s="46"/>
    </row>
    <row r="820">
      <c r="C820" s="86"/>
      <c r="F820" s="87"/>
      <c r="G820" s="87"/>
      <c r="H820" s="46"/>
      <c r="J820" s="46"/>
    </row>
    <row r="821">
      <c r="C821" s="86"/>
      <c r="F821" s="87"/>
      <c r="G821" s="87"/>
      <c r="H821" s="46"/>
      <c r="J821" s="46"/>
    </row>
    <row r="822">
      <c r="C822" s="86"/>
      <c r="F822" s="87"/>
      <c r="G822" s="87"/>
      <c r="H822" s="46"/>
      <c r="J822" s="46"/>
    </row>
    <row r="823">
      <c r="C823" s="86"/>
      <c r="F823" s="87"/>
      <c r="G823" s="87"/>
      <c r="H823" s="46"/>
      <c r="J823" s="46"/>
    </row>
    <row r="824">
      <c r="C824" s="86"/>
      <c r="F824" s="87"/>
      <c r="G824" s="87"/>
      <c r="H824" s="46"/>
      <c r="J824" s="46"/>
    </row>
    <row r="825">
      <c r="C825" s="86"/>
      <c r="F825" s="87"/>
      <c r="G825" s="87"/>
      <c r="H825" s="46"/>
      <c r="J825" s="46"/>
    </row>
    <row r="826">
      <c r="C826" s="86"/>
      <c r="F826" s="87"/>
      <c r="G826" s="87"/>
      <c r="H826" s="46"/>
      <c r="J826" s="46"/>
    </row>
    <row r="827">
      <c r="C827" s="86"/>
      <c r="F827" s="87"/>
      <c r="G827" s="87"/>
      <c r="H827" s="46"/>
      <c r="J827" s="46"/>
    </row>
    <row r="828">
      <c r="C828" s="86"/>
      <c r="F828" s="87"/>
      <c r="G828" s="87"/>
      <c r="H828" s="46"/>
      <c r="J828" s="46"/>
    </row>
    <row r="829">
      <c r="C829" s="86"/>
      <c r="F829" s="87"/>
      <c r="G829" s="87"/>
      <c r="H829" s="46"/>
      <c r="J829" s="46"/>
    </row>
    <row r="830">
      <c r="C830" s="86"/>
      <c r="F830" s="87"/>
      <c r="G830" s="87"/>
      <c r="H830" s="46"/>
      <c r="J830" s="46"/>
    </row>
    <row r="831">
      <c r="C831" s="86"/>
      <c r="F831" s="87"/>
      <c r="G831" s="87"/>
      <c r="H831" s="46"/>
      <c r="J831" s="46"/>
    </row>
    <row r="832">
      <c r="C832" s="86"/>
      <c r="F832" s="87"/>
      <c r="G832" s="87"/>
      <c r="H832" s="46"/>
      <c r="J832" s="46"/>
    </row>
    <row r="833">
      <c r="C833" s="86"/>
      <c r="F833" s="87"/>
      <c r="G833" s="87"/>
      <c r="H833" s="46"/>
      <c r="J833" s="46"/>
    </row>
    <row r="834">
      <c r="C834" s="86"/>
      <c r="F834" s="87"/>
      <c r="G834" s="87"/>
      <c r="H834" s="46"/>
      <c r="J834" s="46"/>
    </row>
    <row r="835">
      <c r="C835" s="86"/>
      <c r="F835" s="87"/>
      <c r="G835" s="87"/>
      <c r="H835" s="46"/>
      <c r="J835" s="46"/>
    </row>
    <row r="836">
      <c r="C836" s="86"/>
      <c r="F836" s="87"/>
      <c r="G836" s="87"/>
      <c r="H836" s="46"/>
      <c r="J836" s="46"/>
    </row>
    <row r="837">
      <c r="C837" s="86"/>
      <c r="F837" s="87"/>
      <c r="G837" s="87"/>
      <c r="H837" s="46"/>
      <c r="J837" s="46"/>
    </row>
    <row r="838">
      <c r="C838" s="86"/>
      <c r="F838" s="87"/>
      <c r="G838" s="87"/>
      <c r="H838" s="46"/>
      <c r="J838" s="46"/>
    </row>
    <row r="839">
      <c r="C839" s="86"/>
      <c r="F839" s="87"/>
      <c r="G839" s="87"/>
      <c r="H839" s="46"/>
      <c r="J839" s="46"/>
    </row>
    <row r="840">
      <c r="C840" s="86"/>
      <c r="F840" s="87"/>
      <c r="G840" s="87"/>
      <c r="H840" s="46"/>
      <c r="J840" s="46"/>
    </row>
    <row r="841">
      <c r="C841" s="86"/>
      <c r="F841" s="87"/>
      <c r="G841" s="87"/>
      <c r="H841" s="46"/>
      <c r="J841" s="46"/>
    </row>
    <row r="842">
      <c r="C842" s="86"/>
      <c r="F842" s="87"/>
      <c r="G842" s="87"/>
      <c r="H842" s="46"/>
      <c r="J842" s="46"/>
    </row>
    <row r="843">
      <c r="C843" s="86"/>
      <c r="F843" s="87"/>
      <c r="G843" s="87"/>
      <c r="H843" s="46"/>
      <c r="J843" s="46"/>
    </row>
    <row r="844">
      <c r="C844" s="86"/>
      <c r="F844" s="87"/>
      <c r="G844" s="87"/>
      <c r="H844" s="46"/>
      <c r="J844" s="46"/>
    </row>
    <row r="845">
      <c r="C845" s="86"/>
      <c r="F845" s="87"/>
      <c r="G845" s="87"/>
      <c r="H845" s="46"/>
      <c r="J845" s="46"/>
    </row>
    <row r="846">
      <c r="C846" s="86"/>
      <c r="F846" s="87"/>
      <c r="G846" s="87"/>
      <c r="H846" s="46"/>
      <c r="J846" s="46"/>
    </row>
    <row r="847">
      <c r="C847" s="86"/>
      <c r="F847" s="87"/>
      <c r="G847" s="87"/>
      <c r="H847" s="46"/>
      <c r="J847" s="46"/>
    </row>
    <row r="848">
      <c r="C848" s="86"/>
      <c r="F848" s="87"/>
      <c r="G848" s="87"/>
      <c r="H848" s="46"/>
      <c r="J848" s="46"/>
    </row>
    <row r="849">
      <c r="C849" s="86"/>
      <c r="F849" s="87"/>
      <c r="G849" s="87"/>
      <c r="H849" s="46"/>
      <c r="J849" s="46"/>
    </row>
    <row r="850">
      <c r="C850" s="86"/>
      <c r="F850" s="87"/>
      <c r="G850" s="87"/>
      <c r="H850" s="46"/>
      <c r="J850" s="46"/>
    </row>
    <row r="851">
      <c r="C851" s="86"/>
      <c r="F851" s="87"/>
      <c r="G851" s="87"/>
      <c r="H851" s="46"/>
      <c r="J851" s="46"/>
    </row>
    <row r="852">
      <c r="C852" s="86"/>
      <c r="F852" s="87"/>
      <c r="G852" s="87"/>
      <c r="H852" s="46"/>
      <c r="J852" s="46"/>
    </row>
    <row r="853">
      <c r="C853" s="86"/>
      <c r="F853" s="87"/>
      <c r="G853" s="87"/>
      <c r="H853" s="46"/>
      <c r="J853" s="46"/>
    </row>
    <row r="854">
      <c r="C854" s="86"/>
      <c r="F854" s="87"/>
      <c r="G854" s="87"/>
      <c r="H854" s="46"/>
      <c r="J854" s="46"/>
    </row>
    <row r="855">
      <c r="C855" s="86"/>
      <c r="F855" s="87"/>
      <c r="G855" s="87"/>
      <c r="H855" s="46"/>
      <c r="J855" s="46"/>
    </row>
    <row r="856">
      <c r="C856" s="86"/>
      <c r="F856" s="87"/>
      <c r="G856" s="87"/>
      <c r="H856" s="46"/>
      <c r="J856" s="46"/>
    </row>
    <row r="857">
      <c r="C857" s="86"/>
      <c r="F857" s="87"/>
      <c r="G857" s="87"/>
      <c r="H857" s="46"/>
      <c r="J857" s="46"/>
    </row>
    <row r="858">
      <c r="C858" s="86"/>
      <c r="F858" s="87"/>
      <c r="G858" s="87"/>
      <c r="H858" s="46"/>
      <c r="J858" s="46"/>
    </row>
    <row r="859">
      <c r="C859" s="86"/>
      <c r="F859" s="87"/>
      <c r="G859" s="87"/>
      <c r="H859" s="46"/>
      <c r="J859" s="46"/>
    </row>
    <row r="860">
      <c r="C860" s="86"/>
      <c r="F860" s="87"/>
      <c r="G860" s="87"/>
      <c r="H860" s="46"/>
      <c r="J860" s="46"/>
    </row>
    <row r="861">
      <c r="C861" s="86"/>
      <c r="F861" s="87"/>
      <c r="G861" s="87"/>
      <c r="H861" s="46"/>
      <c r="J861" s="46"/>
    </row>
    <row r="862">
      <c r="C862" s="86"/>
      <c r="F862" s="87"/>
      <c r="G862" s="87"/>
      <c r="H862" s="46"/>
      <c r="J862" s="46"/>
    </row>
    <row r="863">
      <c r="C863" s="86"/>
      <c r="F863" s="87"/>
      <c r="G863" s="87"/>
      <c r="H863" s="46"/>
      <c r="J863" s="46"/>
    </row>
    <row r="864">
      <c r="C864" s="86"/>
      <c r="F864" s="87"/>
      <c r="G864" s="87"/>
      <c r="H864" s="46"/>
      <c r="J864" s="46"/>
    </row>
    <row r="865">
      <c r="C865" s="86"/>
      <c r="F865" s="87"/>
      <c r="G865" s="87"/>
      <c r="H865" s="46"/>
      <c r="J865" s="46"/>
    </row>
    <row r="866">
      <c r="C866" s="86"/>
      <c r="F866" s="87"/>
      <c r="G866" s="87"/>
      <c r="H866" s="46"/>
      <c r="J866" s="46"/>
    </row>
    <row r="867">
      <c r="C867" s="86"/>
      <c r="F867" s="87"/>
      <c r="G867" s="87"/>
      <c r="H867" s="46"/>
      <c r="J867" s="46"/>
    </row>
    <row r="868">
      <c r="C868" s="86"/>
      <c r="F868" s="87"/>
      <c r="G868" s="87"/>
      <c r="H868" s="46"/>
      <c r="J868" s="46"/>
    </row>
    <row r="869">
      <c r="C869" s="86"/>
      <c r="F869" s="87"/>
      <c r="G869" s="87"/>
      <c r="H869" s="46"/>
      <c r="J869" s="46"/>
    </row>
    <row r="870">
      <c r="C870" s="86"/>
      <c r="F870" s="87"/>
      <c r="G870" s="87"/>
      <c r="H870" s="46"/>
      <c r="J870" s="46"/>
    </row>
    <row r="871">
      <c r="C871" s="86"/>
      <c r="F871" s="87"/>
      <c r="G871" s="87"/>
      <c r="H871" s="46"/>
      <c r="J871" s="46"/>
    </row>
    <row r="872">
      <c r="C872" s="86"/>
      <c r="F872" s="87"/>
      <c r="G872" s="87"/>
      <c r="H872" s="46"/>
      <c r="J872" s="46"/>
    </row>
    <row r="873">
      <c r="C873" s="86"/>
      <c r="F873" s="87"/>
      <c r="G873" s="87"/>
      <c r="H873" s="46"/>
      <c r="J873" s="46"/>
    </row>
    <row r="874">
      <c r="C874" s="86"/>
      <c r="F874" s="87"/>
      <c r="G874" s="87"/>
      <c r="H874" s="46"/>
      <c r="J874" s="46"/>
    </row>
    <row r="875">
      <c r="C875" s="86"/>
      <c r="F875" s="87"/>
      <c r="G875" s="87"/>
      <c r="H875" s="46"/>
      <c r="J875" s="46"/>
    </row>
    <row r="876">
      <c r="C876" s="86"/>
      <c r="F876" s="87"/>
      <c r="G876" s="87"/>
      <c r="H876" s="46"/>
      <c r="J876" s="46"/>
    </row>
    <row r="877">
      <c r="C877" s="86"/>
      <c r="F877" s="87"/>
      <c r="G877" s="87"/>
      <c r="H877" s="46"/>
      <c r="J877" s="46"/>
    </row>
    <row r="878">
      <c r="C878" s="86"/>
      <c r="F878" s="87"/>
      <c r="G878" s="87"/>
      <c r="H878" s="46"/>
      <c r="J878" s="46"/>
    </row>
    <row r="879">
      <c r="C879" s="86"/>
      <c r="F879" s="87"/>
      <c r="G879" s="87"/>
      <c r="H879" s="46"/>
      <c r="J879" s="46"/>
    </row>
    <row r="880">
      <c r="C880" s="86"/>
      <c r="F880" s="87"/>
      <c r="G880" s="87"/>
      <c r="H880" s="46"/>
      <c r="J880" s="46"/>
    </row>
    <row r="881">
      <c r="C881" s="86"/>
      <c r="F881" s="87"/>
      <c r="G881" s="87"/>
      <c r="H881" s="46"/>
      <c r="J881" s="46"/>
    </row>
    <row r="882">
      <c r="C882" s="86"/>
      <c r="F882" s="87"/>
      <c r="G882" s="87"/>
      <c r="H882" s="46"/>
      <c r="J882" s="46"/>
    </row>
    <row r="883">
      <c r="C883" s="86"/>
      <c r="F883" s="87"/>
      <c r="G883" s="87"/>
      <c r="H883" s="46"/>
      <c r="J883" s="46"/>
    </row>
    <row r="884">
      <c r="C884" s="86"/>
      <c r="F884" s="87"/>
      <c r="G884" s="87"/>
      <c r="H884" s="46"/>
      <c r="J884" s="46"/>
    </row>
    <row r="885">
      <c r="C885" s="86"/>
      <c r="F885" s="87"/>
      <c r="G885" s="87"/>
      <c r="H885" s="46"/>
      <c r="J885" s="46"/>
    </row>
    <row r="886">
      <c r="C886" s="86"/>
      <c r="F886" s="87"/>
      <c r="G886" s="87"/>
      <c r="H886" s="46"/>
      <c r="J886" s="46"/>
    </row>
    <row r="887">
      <c r="C887" s="86"/>
      <c r="F887" s="87"/>
      <c r="G887" s="87"/>
      <c r="H887" s="46"/>
      <c r="J887" s="46"/>
    </row>
    <row r="888">
      <c r="C888" s="86"/>
      <c r="F888" s="87"/>
      <c r="G888" s="87"/>
      <c r="H888" s="46"/>
      <c r="J888" s="46"/>
    </row>
    <row r="889">
      <c r="C889" s="86"/>
      <c r="F889" s="87"/>
      <c r="G889" s="87"/>
      <c r="H889" s="46"/>
      <c r="J889" s="46"/>
    </row>
    <row r="890">
      <c r="C890" s="86"/>
      <c r="F890" s="87"/>
      <c r="G890" s="87"/>
      <c r="H890" s="46"/>
      <c r="J890" s="46"/>
    </row>
    <row r="891">
      <c r="C891" s="86"/>
      <c r="F891" s="87"/>
      <c r="G891" s="87"/>
      <c r="H891" s="46"/>
      <c r="J891" s="46"/>
    </row>
    <row r="892">
      <c r="C892" s="86"/>
      <c r="F892" s="87"/>
      <c r="G892" s="87"/>
      <c r="H892" s="46"/>
      <c r="J892" s="46"/>
    </row>
    <row r="893">
      <c r="C893" s="86"/>
      <c r="F893" s="87"/>
      <c r="G893" s="87"/>
      <c r="H893" s="46"/>
      <c r="J893" s="46"/>
    </row>
    <row r="894">
      <c r="C894" s="86"/>
      <c r="F894" s="87"/>
      <c r="G894" s="87"/>
      <c r="H894" s="46"/>
      <c r="J894" s="46"/>
    </row>
    <row r="895">
      <c r="C895" s="86"/>
      <c r="F895" s="87"/>
      <c r="G895" s="87"/>
      <c r="H895" s="46"/>
      <c r="J895" s="46"/>
    </row>
    <row r="896">
      <c r="C896" s="86"/>
      <c r="F896" s="87"/>
      <c r="G896" s="87"/>
      <c r="H896" s="46"/>
      <c r="J896" s="46"/>
    </row>
    <row r="897">
      <c r="C897" s="86"/>
      <c r="F897" s="87"/>
      <c r="G897" s="87"/>
      <c r="H897" s="46"/>
      <c r="J897" s="46"/>
    </row>
    <row r="898">
      <c r="C898" s="86"/>
      <c r="F898" s="87"/>
      <c r="G898" s="87"/>
      <c r="H898" s="46"/>
      <c r="J898" s="46"/>
    </row>
    <row r="899">
      <c r="C899" s="86"/>
      <c r="F899" s="87"/>
      <c r="G899" s="87"/>
      <c r="H899" s="46"/>
      <c r="J899" s="46"/>
    </row>
    <row r="900">
      <c r="C900" s="86"/>
      <c r="F900" s="87"/>
      <c r="G900" s="87"/>
      <c r="H900" s="46"/>
      <c r="J900" s="46"/>
    </row>
    <row r="901">
      <c r="C901" s="86"/>
      <c r="F901" s="87"/>
      <c r="G901" s="87"/>
      <c r="H901" s="46"/>
      <c r="J901" s="46"/>
    </row>
    <row r="902">
      <c r="C902" s="86"/>
      <c r="F902" s="87"/>
      <c r="G902" s="87"/>
      <c r="H902" s="46"/>
      <c r="J902" s="46"/>
    </row>
    <row r="903">
      <c r="C903" s="86"/>
      <c r="F903" s="87"/>
      <c r="G903" s="87"/>
      <c r="H903" s="46"/>
      <c r="J903" s="46"/>
    </row>
    <row r="904">
      <c r="C904" s="86"/>
      <c r="F904" s="87"/>
      <c r="G904" s="87"/>
      <c r="H904" s="46"/>
      <c r="J904" s="46"/>
    </row>
    <row r="905">
      <c r="C905" s="86"/>
      <c r="F905" s="87"/>
      <c r="G905" s="87"/>
      <c r="H905" s="46"/>
      <c r="J905" s="46"/>
    </row>
    <row r="906">
      <c r="C906" s="86"/>
      <c r="F906" s="87"/>
      <c r="G906" s="87"/>
      <c r="H906" s="46"/>
      <c r="J906" s="46"/>
    </row>
    <row r="907">
      <c r="C907" s="86"/>
      <c r="F907" s="87"/>
      <c r="G907" s="87"/>
      <c r="H907" s="46"/>
      <c r="J907" s="46"/>
    </row>
    <row r="908">
      <c r="C908" s="86"/>
      <c r="F908" s="87"/>
      <c r="G908" s="87"/>
      <c r="H908" s="46"/>
      <c r="J908" s="46"/>
    </row>
    <row r="909">
      <c r="C909" s="86"/>
      <c r="F909" s="87"/>
      <c r="G909" s="87"/>
      <c r="H909" s="46"/>
      <c r="J909" s="46"/>
    </row>
    <row r="910">
      <c r="C910" s="86"/>
      <c r="F910" s="87"/>
      <c r="G910" s="87"/>
      <c r="H910" s="46"/>
      <c r="J910" s="46"/>
    </row>
    <row r="911">
      <c r="C911" s="86"/>
      <c r="F911" s="87"/>
      <c r="G911" s="87"/>
      <c r="H911" s="46"/>
      <c r="J911" s="46"/>
    </row>
    <row r="912">
      <c r="C912" s="86"/>
      <c r="F912" s="87"/>
      <c r="G912" s="87"/>
      <c r="H912" s="46"/>
      <c r="J912" s="46"/>
    </row>
    <row r="913">
      <c r="C913" s="86"/>
      <c r="F913" s="87"/>
      <c r="G913" s="87"/>
      <c r="H913" s="46"/>
      <c r="J913" s="46"/>
    </row>
    <row r="914">
      <c r="C914" s="86"/>
      <c r="F914" s="87"/>
      <c r="G914" s="87"/>
      <c r="H914" s="46"/>
      <c r="J914" s="46"/>
    </row>
    <row r="915">
      <c r="C915" s="86"/>
      <c r="F915" s="87"/>
      <c r="G915" s="87"/>
      <c r="H915" s="46"/>
      <c r="J915" s="46"/>
    </row>
    <row r="916">
      <c r="C916" s="86"/>
      <c r="F916" s="87"/>
      <c r="G916" s="87"/>
      <c r="H916" s="46"/>
      <c r="J916" s="46"/>
    </row>
    <row r="917">
      <c r="C917" s="86"/>
      <c r="F917" s="87"/>
      <c r="G917" s="87"/>
      <c r="H917" s="46"/>
      <c r="J917" s="46"/>
    </row>
    <row r="918">
      <c r="C918" s="86"/>
      <c r="F918" s="87"/>
      <c r="G918" s="87"/>
      <c r="H918" s="46"/>
      <c r="J918" s="46"/>
    </row>
    <row r="919">
      <c r="C919" s="86"/>
      <c r="F919" s="87"/>
      <c r="G919" s="87"/>
      <c r="H919" s="46"/>
      <c r="J919" s="46"/>
    </row>
    <row r="920">
      <c r="C920" s="86"/>
      <c r="F920" s="87"/>
      <c r="G920" s="87"/>
      <c r="H920" s="46"/>
      <c r="J920" s="46"/>
    </row>
    <row r="921">
      <c r="C921" s="86"/>
      <c r="F921" s="87"/>
      <c r="G921" s="87"/>
      <c r="H921" s="46"/>
      <c r="J921" s="46"/>
    </row>
    <row r="922">
      <c r="C922" s="86"/>
      <c r="F922" s="87"/>
      <c r="G922" s="87"/>
      <c r="H922" s="46"/>
      <c r="J922" s="46"/>
    </row>
    <row r="923">
      <c r="C923" s="86"/>
      <c r="F923" s="87"/>
      <c r="G923" s="87"/>
      <c r="H923" s="46"/>
      <c r="J923" s="46"/>
    </row>
    <row r="924">
      <c r="C924" s="86"/>
      <c r="F924" s="87"/>
      <c r="G924" s="87"/>
      <c r="H924" s="46"/>
      <c r="J924" s="46"/>
    </row>
    <row r="925">
      <c r="C925" s="86"/>
      <c r="F925" s="87"/>
      <c r="G925" s="87"/>
      <c r="H925" s="46"/>
      <c r="J925" s="46"/>
    </row>
    <row r="926">
      <c r="C926" s="86"/>
      <c r="F926" s="87"/>
      <c r="G926" s="87"/>
      <c r="H926" s="46"/>
      <c r="J926" s="46"/>
    </row>
    <row r="927">
      <c r="C927" s="86"/>
      <c r="F927" s="87"/>
      <c r="G927" s="87"/>
      <c r="H927" s="46"/>
      <c r="J927" s="46"/>
    </row>
    <row r="928">
      <c r="C928" s="86"/>
      <c r="F928" s="87"/>
      <c r="G928" s="87"/>
      <c r="H928" s="46"/>
      <c r="J928" s="46"/>
    </row>
    <row r="929">
      <c r="C929" s="86"/>
      <c r="F929" s="87"/>
      <c r="G929" s="87"/>
      <c r="H929" s="46"/>
      <c r="J929" s="46"/>
    </row>
    <row r="930">
      <c r="C930" s="86"/>
      <c r="F930" s="87"/>
      <c r="G930" s="87"/>
      <c r="H930" s="46"/>
      <c r="J930" s="46"/>
    </row>
    <row r="931">
      <c r="C931" s="86"/>
      <c r="F931" s="87"/>
      <c r="G931" s="87"/>
      <c r="H931" s="46"/>
      <c r="J931" s="46"/>
    </row>
    <row r="932">
      <c r="C932" s="86"/>
      <c r="F932" s="87"/>
      <c r="G932" s="87"/>
      <c r="H932" s="46"/>
      <c r="J932" s="46"/>
    </row>
    <row r="933">
      <c r="C933" s="86"/>
      <c r="F933" s="87"/>
      <c r="G933" s="87"/>
      <c r="H933" s="46"/>
      <c r="J933" s="46"/>
    </row>
    <row r="934">
      <c r="C934" s="86"/>
      <c r="F934" s="87"/>
      <c r="G934" s="87"/>
      <c r="H934" s="46"/>
      <c r="J934" s="46"/>
    </row>
    <row r="935">
      <c r="C935" s="86"/>
      <c r="F935" s="87"/>
      <c r="G935" s="87"/>
      <c r="H935" s="46"/>
      <c r="J935" s="46"/>
    </row>
    <row r="936">
      <c r="C936" s="86"/>
      <c r="F936" s="87"/>
      <c r="G936" s="87"/>
      <c r="H936" s="46"/>
      <c r="J936" s="46"/>
    </row>
    <row r="937">
      <c r="C937" s="86"/>
      <c r="F937" s="87"/>
      <c r="G937" s="87"/>
      <c r="H937" s="46"/>
      <c r="J937" s="46"/>
    </row>
    <row r="938">
      <c r="C938" s="86"/>
      <c r="F938" s="87"/>
      <c r="G938" s="87"/>
      <c r="H938" s="46"/>
      <c r="J938" s="46"/>
    </row>
    <row r="939">
      <c r="C939" s="86"/>
      <c r="F939" s="87"/>
      <c r="G939" s="87"/>
      <c r="H939" s="46"/>
      <c r="J939" s="46"/>
    </row>
    <row r="940">
      <c r="C940" s="86"/>
      <c r="F940" s="87"/>
      <c r="G940" s="87"/>
      <c r="H940" s="46"/>
      <c r="J940" s="46"/>
    </row>
    <row r="941">
      <c r="C941" s="86"/>
      <c r="F941" s="87"/>
      <c r="G941" s="87"/>
      <c r="H941" s="46"/>
      <c r="J941" s="46"/>
    </row>
    <row r="942">
      <c r="C942" s="86"/>
      <c r="F942" s="87"/>
      <c r="G942" s="87"/>
      <c r="H942" s="46"/>
      <c r="J942" s="46"/>
    </row>
    <row r="943">
      <c r="C943" s="86"/>
      <c r="F943" s="87"/>
      <c r="G943" s="87"/>
      <c r="H943" s="46"/>
      <c r="J943" s="46"/>
    </row>
    <row r="944">
      <c r="C944" s="86"/>
      <c r="F944" s="87"/>
      <c r="G944" s="87"/>
      <c r="H944" s="46"/>
      <c r="J944" s="46"/>
    </row>
    <row r="945">
      <c r="C945" s="86"/>
      <c r="F945" s="87"/>
      <c r="G945" s="87"/>
      <c r="H945" s="46"/>
      <c r="J945" s="46"/>
    </row>
    <row r="946">
      <c r="C946" s="86"/>
      <c r="F946" s="87"/>
      <c r="G946" s="87"/>
      <c r="H946" s="46"/>
      <c r="J946" s="46"/>
    </row>
    <row r="947">
      <c r="C947" s="86"/>
      <c r="F947" s="87"/>
      <c r="G947" s="87"/>
      <c r="H947" s="46"/>
      <c r="J947" s="46"/>
    </row>
    <row r="948">
      <c r="C948" s="86"/>
      <c r="F948" s="87"/>
      <c r="G948" s="87"/>
      <c r="H948" s="46"/>
      <c r="J948" s="46"/>
    </row>
    <row r="949">
      <c r="C949" s="86"/>
      <c r="F949" s="87"/>
      <c r="G949" s="87"/>
      <c r="H949" s="46"/>
      <c r="J949" s="46"/>
    </row>
    <row r="950">
      <c r="C950" s="86"/>
      <c r="F950" s="87"/>
      <c r="G950" s="87"/>
      <c r="H950" s="46"/>
      <c r="J950" s="46"/>
    </row>
    <row r="951">
      <c r="C951" s="86"/>
      <c r="F951" s="87"/>
      <c r="G951" s="87"/>
      <c r="H951" s="46"/>
      <c r="J951" s="46"/>
    </row>
    <row r="952">
      <c r="C952" s="86"/>
      <c r="F952" s="87"/>
      <c r="G952" s="87"/>
      <c r="H952" s="46"/>
      <c r="J952" s="46"/>
    </row>
    <row r="953">
      <c r="C953" s="86"/>
      <c r="F953" s="87"/>
      <c r="G953" s="87"/>
      <c r="H953" s="46"/>
      <c r="J953" s="46"/>
    </row>
    <row r="954">
      <c r="C954" s="86"/>
      <c r="F954" s="87"/>
      <c r="G954" s="87"/>
      <c r="H954" s="46"/>
      <c r="J954" s="46"/>
    </row>
    <row r="955">
      <c r="C955" s="86"/>
      <c r="F955" s="87"/>
      <c r="G955" s="87"/>
      <c r="H955" s="46"/>
      <c r="J955" s="46"/>
    </row>
    <row r="956">
      <c r="C956" s="86"/>
      <c r="F956" s="87"/>
      <c r="G956" s="87"/>
      <c r="H956" s="46"/>
      <c r="J956" s="46"/>
    </row>
    <row r="957">
      <c r="C957" s="86"/>
      <c r="F957" s="87"/>
      <c r="G957" s="87"/>
      <c r="H957" s="46"/>
      <c r="J957" s="46"/>
    </row>
    <row r="958">
      <c r="C958" s="86"/>
      <c r="F958" s="87"/>
      <c r="G958" s="87"/>
      <c r="H958" s="46"/>
      <c r="J958" s="46"/>
    </row>
    <row r="959">
      <c r="C959" s="86"/>
      <c r="F959" s="87"/>
      <c r="G959" s="87"/>
      <c r="H959" s="46"/>
      <c r="J959" s="46"/>
    </row>
    <row r="960">
      <c r="C960" s="86"/>
      <c r="F960" s="87"/>
      <c r="G960" s="87"/>
      <c r="H960" s="46"/>
      <c r="J960" s="46"/>
    </row>
    <row r="961">
      <c r="C961" s="86"/>
      <c r="F961" s="87"/>
      <c r="G961" s="87"/>
      <c r="H961" s="46"/>
      <c r="J961" s="46"/>
    </row>
    <row r="962">
      <c r="C962" s="86"/>
      <c r="F962" s="87"/>
      <c r="G962" s="87"/>
      <c r="H962" s="46"/>
      <c r="J962" s="46"/>
    </row>
    <row r="963">
      <c r="C963" s="86"/>
      <c r="F963" s="87"/>
      <c r="G963" s="87"/>
      <c r="H963" s="46"/>
      <c r="J963" s="46"/>
    </row>
    <row r="964">
      <c r="C964" s="86"/>
      <c r="F964" s="87"/>
      <c r="G964" s="87"/>
      <c r="H964" s="46"/>
      <c r="J964" s="46"/>
    </row>
    <row r="965">
      <c r="C965" s="86"/>
      <c r="F965" s="87"/>
      <c r="G965" s="87"/>
      <c r="H965" s="46"/>
      <c r="J965" s="46"/>
    </row>
    <row r="966">
      <c r="C966" s="86"/>
      <c r="F966" s="87"/>
      <c r="G966" s="87"/>
      <c r="H966" s="46"/>
      <c r="J966" s="46"/>
    </row>
    <row r="967">
      <c r="C967" s="86"/>
      <c r="F967" s="87"/>
      <c r="G967" s="87"/>
      <c r="H967" s="46"/>
      <c r="J967" s="46"/>
    </row>
    <row r="968">
      <c r="C968" s="86"/>
      <c r="F968" s="87"/>
      <c r="G968" s="87"/>
      <c r="H968" s="46"/>
      <c r="J968" s="46"/>
    </row>
    <row r="969">
      <c r="C969" s="86"/>
      <c r="F969" s="87"/>
      <c r="G969" s="87"/>
      <c r="H969" s="46"/>
      <c r="J969" s="46"/>
    </row>
    <row r="970">
      <c r="C970" s="86"/>
      <c r="F970" s="87"/>
      <c r="G970" s="87"/>
      <c r="H970" s="46"/>
      <c r="J970" s="46"/>
    </row>
    <row r="971">
      <c r="C971" s="86"/>
      <c r="F971" s="87"/>
      <c r="G971" s="87"/>
      <c r="H971" s="46"/>
      <c r="J971" s="46"/>
    </row>
    <row r="972">
      <c r="C972" s="86"/>
      <c r="F972" s="87"/>
      <c r="G972" s="87"/>
      <c r="H972" s="46"/>
      <c r="J972" s="46"/>
    </row>
    <row r="973">
      <c r="C973" s="86"/>
      <c r="F973" s="87"/>
      <c r="G973" s="87"/>
      <c r="H973" s="46"/>
      <c r="J973" s="46"/>
    </row>
    <row r="974">
      <c r="C974" s="86"/>
      <c r="F974" s="87"/>
      <c r="G974" s="87"/>
      <c r="H974" s="46"/>
      <c r="J974" s="46"/>
    </row>
    <row r="975">
      <c r="C975" s="86"/>
      <c r="F975" s="87"/>
      <c r="G975" s="87"/>
      <c r="H975" s="46"/>
      <c r="J975" s="46"/>
    </row>
    <row r="976">
      <c r="C976" s="86"/>
      <c r="F976" s="87"/>
      <c r="G976" s="87"/>
      <c r="H976" s="46"/>
      <c r="J976" s="46"/>
    </row>
    <row r="977">
      <c r="C977" s="86"/>
      <c r="F977" s="87"/>
      <c r="G977" s="87"/>
      <c r="H977" s="46"/>
      <c r="J977" s="46"/>
    </row>
    <row r="978">
      <c r="C978" s="86"/>
      <c r="F978" s="87"/>
      <c r="G978" s="87"/>
      <c r="H978" s="46"/>
      <c r="J978" s="46"/>
    </row>
    <row r="979">
      <c r="C979" s="86"/>
      <c r="F979" s="87"/>
      <c r="G979" s="87"/>
      <c r="H979" s="46"/>
      <c r="J979" s="46"/>
    </row>
    <row r="980">
      <c r="C980" s="86"/>
      <c r="F980" s="87"/>
      <c r="G980" s="87"/>
      <c r="H980" s="46"/>
      <c r="J980" s="46"/>
    </row>
    <row r="981">
      <c r="C981" s="86"/>
      <c r="F981" s="87"/>
      <c r="G981" s="87"/>
      <c r="H981" s="46"/>
      <c r="J981" s="46"/>
    </row>
    <row r="982">
      <c r="C982" s="86"/>
      <c r="F982" s="87"/>
      <c r="G982" s="87"/>
      <c r="H982" s="46"/>
      <c r="J982" s="46"/>
    </row>
    <row r="983">
      <c r="C983" s="86"/>
      <c r="F983" s="87"/>
      <c r="G983" s="87"/>
      <c r="H983" s="46"/>
      <c r="J983" s="46"/>
    </row>
    <row r="984">
      <c r="C984" s="86"/>
      <c r="F984" s="87"/>
      <c r="G984" s="87"/>
      <c r="H984" s="46"/>
      <c r="J984" s="46"/>
    </row>
    <row r="985">
      <c r="C985" s="86"/>
      <c r="F985" s="87"/>
      <c r="G985" s="87"/>
      <c r="H985" s="46"/>
      <c r="J985" s="46"/>
    </row>
    <row r="986">
      <c r="C986" s="86"/>
      <c r="F986" s="87"/>
      <c r="G986" s="87"/>
      <c r="H986" s="46"/>
      <c r="J986" s="46"/>
    </row>
    <row r="987">
      <c r="C987" s="86"/>
      <c r="F987" s="87"/>
      <c r="G987" s="87"/>
      <c r="H987" s="46"/>
      <c r="J987" s="46"/>
    </row>
    <row r="988">
      <c r="C988" s="86"/>
      <c r="F988" s="87"/>
      <c r="G988" s="87"/>
      <c r="H988" s="46"/>
      <c r="J988" s="46"/>
    </row>
    <row r="989">
      <c r="C989" s="86"/>
      <c r="F989" s="87"/>
      <c r="G989" s="87"/>
      <c r="H989" s="46"/>
      <c r="J989" s="46"/>
    </row>
    <row r="990">
      <c r="C990" s="86"/>
      <c r="F990" s="87"/>
      <c r="G990" s="87"/>
      <c r="H990" s="46"/>
      <c r="J990" s="46"/>
    </row>
    <row r="991">
      <c r="C991" s="86"/>
      <c r="F991" s="87"/>
      <c r="G991" s="87"/>
      <c r="H991" s="46"/>
      <c r="J991" s="46"/>
    </row>
    <row r="992">
      <c r="C992" s="86"/>
      <c r="F992" s="87"/>
      <c r="G992" s="87"/>
      <c r="H992" s="46"/>
      <c r="J992" s="46"/>
    </row>
    <row r="993">
      <c r="C993" s="86"/>
      <c r="F993" s="87"/>
      <c r="G993" s="87"/>
      <c r="H993" s="46"/>
      <c r="J993" s="46"/>
    </row>
    <row r="994">
      <c r="C994" s="86"/>
      <c r="F994" s="87"/>
      <c r="G994" s="87"/>
      <c r="H994" s="46"/>
      <c r="J994" s="46"/>
    </row>
    <row r="995">
      <c r="C995" s="86"/>
      <c r="F995" s="87"/>
      <c r="G995" s="87"/>
      <c r="H995" s="46"/>
      <c r="J995" s="46"/>
    </row>
    <row r="996">
      <c r="C996" s="86"/>
      <c r="F996" s="87"/>
      <c r="G996" s="87"/>
      <c r="H996" s="46"/>
      <c r="J996" s="46"/>
    </row>
    <row r="997">
      <c r="C997" s="86"/>
      <c r="F997" s="87"/>
      <c r="G997" s="87"/>
      <c r="H997" s="46"/>
      <c r="J997" s="46"/>
    </row>
    <row r="998">
      <c r="C998" s="86"/>
      <c r="F998" s="87"/>
      <c r="G998" s="87"/>
      <c r="H998" s="46"/>
      <c r="J998" s="46"/>
    </row>
    <row r="999">
      <c r="C999" s="86"/>
      <c r="F999" s="87"/>
      <c r="G999" s="87"/>
      <c r="H999" s="46"/>
      <c r="J999" s="46"/>
    </row>
    <row r="1000">
      <c r="C1000" s="86"/>
      <c r="F1000" s="87"/>
      <c r="G1000" s="87"/>
      <c r="H1000" s="46"/>
      <c r="J1000" s="46"/>
    </row>
    <row r="1001">
      <c r="C1001" s="86"/>
      <c r="F1001" s="87"/>
      <c r="G1001" s="87"/>
      <c r="H1001" s="46"/>
      <c r="J1001" s="46"/>
    </row>
    <row r="1002">
      <c r="C1002" s="86"/>
      <c r="F1002" s="87"/>
      <c r="G1002" s="87"/>
      <c r="H1002" s="46"/>
      <c r="J1002" s="46"/>
    </row>
    <row r="1003">
      <c r="C1003" s="86"/>
      <c r="F1003" s="87"/>
      <c r="G1003" s="87"/>
      <c r="H1003" s="46"/>
      <c r="J1003" s="46"/>
    </row>
    <row r="1004">
      <c r="C1004" s="86"/>
      <c r="F1004" s="87"/>
      <c r="G1004" s="87"/>
      <c r="H1004" s="46"/>
      <c r="J1004" s="46"/>
    </row>
    <row r="1005">
      <c r="C1005" s="86"/>
      <c r="F1005" s="87"/>
      <c r="G1005" s="87"/>
      <c r="H1005" s="46"/>
      <c r="J1005" s="46"/>
    </row>
    <row r="1006">
      <c r="C1006" s="86"/>
      <c r="F1006" s="87"/>
      <c r="G1006" s="87"/>
      <c r="H1006" s="46"/>
      <c r="J1006" s="46"/>
    </row>
    <row r="1007">
      <c r="C1007" s="86"/>
      <c r="F1007" s="87"/>
      <c r="G1007" s="87"/>
      <c r="H1007" s="46"/>
      <c r="J1007" s="46"/>
    </row>
    <row r="1008">
      <c r="C1008" s="86"/>
      <c r="F1008" s="87"/>
      <c r="G1008" s="87"/>
      <c r="H1008" s="46"/>
      <c r="J1008" s="46"/>
    </row>
    <row r="1009">
      <c r="C1009" s="86"/>
      <c r="F1009" s="87"/>
      <c r="G1009" s="87"/>
      <c r="H1009" s="46"/>
      <c r="J1009" s="46"/>
    </row>
    <row r="1010">
      <c r="C1010" s="86"/>
      <c r="F1010" s="87"/>
      <c r="G1010" s="87"/>
      <c r="H1010" s="46"/>
      <c r="J1010" s="46"/>
    </row>
    <row r="1011">
      <c r="C1011" s="86"/>
      <c r="F1011" s="87"/>
      <c r="G1011" s="87"/>
      <c r="H1011" s="46"/>
      <c r="J1011" s="46"/>
    </row>
    <row r="1012">
      <c r="C1012" s="86"/>
      <c r="F1012" s="87"/>
      <c r="G1012" s="87"/>
      <c r="H1012" s="46"/>
      <c r="J1012" s="46"/>
    </row>
    <row r="1013">
      <c r="C1013" s="86"/>
      <c r="F1013" s="87"/>
      <c r="G1013" s="87"/>
      <c r="H1013" s="46"/>
      <c r="J1013" s="46"/>
    </row>
    <row r="1014">
      <c r="C1014" s="86"/>
      <c r="F1014" s="87"/>
      <c r="G1014" s="87"/>
      <c r="H1014" s="46"/>
      <c r="J1014" s="46"/>
    </row>
    <row r="1015">
      <c r="C1015" s="86"/>
      <c r="F1015" s="87"/>
      <c r="G1015" s="87"/>
      <c r="H1015" s="46"/>
      <c r="J1015" s="46"/>
    </row>
    <row r="1016">
      <c r="C1016" s="86"/>
      <c r="F1016" s="87"/>
      <c r="G1016" s="87"/>
      <c r="H1016" s="46"/>
      <c r="J1016" s="46"/>
    </row>
    <row r="1017">
      <c r="C1017" s="86"/>
      <c r="F1017" s="87"/>
      <c r="G1017" s="87"/>
      <c r="H1017" s="46"/>
      <c r="J1017" s="46"/>
    </row>
    <row r="1018">
      <c r="C1018" s="86"/>
      <c r="F1018" s="87"/>
      <c r="G1018" s="87"/>
      <c r="H1018" s="46"/>
      <c r="J1018" s="46"/>
    </row>
    <row r="1019">
      <c r="C1019" s="86"/>
      <c r="F1019" s="87"/>
      <c r="G1019" s="87"/>
      <c r="H1019" s="46"/>
      <c r="J1019" s="46"/>
    </row>
    <row r="1020">
      <c r="C1020" s="86"/>
      <c r="F1020" s="87"/>
      <c r="G1020" s="87"/>
      <c r="H1020" s="46"/>
      <c r="J1020" s="46"/>
    </row>
    <row r="1021">
      <c r="C1021" s="86"/>
      <c r="F1021" s="87"/>
      <c r="G1021" s="87"/>
      <c r="H1021" s="46"/>
      <c r="J1021" s="46"/>
    </row>
    <row r="1022">
      <c r="C1022" s="86"/>
      <c r="F1022" s="87"/>
      <c r="G1022" s="87"/>
      <c r="H1022" s="46"/>
      <c r="J1022" s="46"/>
    </row>
    <row r="1023">
      <c r="C1023" s="86"/>
      <c r="F1023" s="87"/>
      <c r="G1023" s="87"/>
      <c r="H1023" s="46"/>
      <c r="J1023" s="46"/>
    </row>
    <row r="1024">
      <c r="C1024" s="86"/>
      <c r="F1024" s="87"/>
      <c r="G1024" s="87"/>
      <c r="H1024" s="46"/>
      <c r="J1024" s="46"/>
    </row>
    <row r="1025">
      <c r="C1025" s="86"/>
      <c r="F1025" s="87"/>
      <c r="G1025" s="87"/>
      <c r="H1025" s="46"/>
      <c r="J1025" s="46"/>
    </row>
    <row r="1026">
      <c r="C1026" s="86"/>
      <c r="F1026" s="87"/>
      <c r="G1026" s="87"/>
      <c r="H1026" s="46"/>
      <c r="J1026" s="46"/>
    </row>
    <row r="1027">
      <c r="C1027" s="86"/>
      <c r="F1027" s="87"/>
      <c r="G1027" s="87"/>
      <c r="H1027" s="46"/>
      <c r="J1027" s="46"/>
    </row>
    <row r="1028">
      <c r="C1028" s="86"/>
      <c r="F1028" s="87"/>
      <c r="G1028" s="87"/>
      <c r="H1028" s="46"/>
      <c r="J1028" s="46"/>
    </row>
    <row r="1029">
      <c r="C1029" s="86"/>
      <c r="F1029" s="87"/>
      <c r="G1029" s="87"/>
      <c r="H1029" s="46"/>
      <c r="J1029" s="46"/>
    </row>
    <row r="1030">
      <c r="C1030" s="86"/>
      <c r="F1030" s="87"/>
      <c r="G1030" s="87"/>
      <c r="H1030" s="46"/>
      <c r="J1030" s="46"/>
    </row>
    <row r="1031">
      <c r="C1031" s="86"/>
      <c r="F1031" s="87"/>
      <c r="G1031" s="87"/>
      <c r="H1031" s="46"/>
      <c r="J1031" s="46"/>
    </row>
    <row r="1032">
      <c r="C1032" s="86"/>
      <c r="F1032" s="87"/>
      <c r="G1032" s="87"/>
      <c r="H1032" s="46"/>
      <c r="J1032" s="46"/>
    </row>
    <row r="1033">
      <c r="C1033" s="86"/>
      <c r="F1033" s="87"/>
      <c r="G1033" s="87"/>
      <c r="H1033" s="46"/>
      <c r="J1033" s="46"/>
    </row>
    <row r="1034">
      <c r="C1034" s="86"/>
      <c r="F1034" s="87"/>
      <c r="G1034" s="87"/>
      <c r="H1034" s="46"/>
      <c r="J1034" s="46"/>
    </row>
    <row r="1035">
      <c r="C1035" s="86"/>
      <c r="F1035" s="87"/>
      <c r="G1035" s="87"/>
      <c r="H1035" s="46"/>
      <c r="J1035" s="46"/>
    </row>
    <row r="1036">
      <c r="C1036" s="86"/>
      <c r="F1036" s="87"/>
      <c r="G1036" s="87"/>
      <c r="H1036" s="46"/>
      <c r="J1036" s="46"/>
    </row>
    <row r="1037">
      <c r="C1037" s="86"/>
      <c r="F1037" s="87"/>
      <c r="G1037" s="87"/>
      <c r="H1037" s="46"/>
      <c r="J1037" s="46"/>
    </row>
    <row r="1038">
      <c r="C1038" s="86"/>
      <c r="F1038" s="87"/>
      <c r="G1038" s="87"/>
      <c r="H1038" s="46"/>
      <c r="J1038" s="46"/>
    </row>
    <row r="1039">
      <c r="C1039" s="86"/>
      <c r="F1039" s="87"/>
      <c r="G1039" s="87"/>
      <c r="H1039" s="46"/>
      <c r="J1039" s="46"/>
    </row>
    <row r="1040">
      <c r="C1040" s="86"/>
      <c r="F1040" s="87"/>
      <c r="G1040" s="87"/>
      <c r="H1040" s="46"/>
      <c r="J1040" s="46"/>
    </row>
    <row r="1041">
      <c r="C1041" s="86"/>
      <c r="F1041" s="87"/>
      <c r="G1041" s="87"/>
      <c r="H1041" s="46"/>
      <c r="J1041" s="46"/>
    </row>
    <row r="1042">
      <c r="C1042" s="86"/>
      <c r="F1042" s="87"/>
      <c r="G1042" s="87"/>
      <c r="H1042" s="46"/>
      <c r="J1042" s="46"/>
    </row>
    <row r="1043">
      <c r="C1043" s="86"/>
      <c r="F1043" s="87"/>
      <c r="G1043" s="87"/>
      <c r="H1043" s="46"/>
      <c r="J1043" s="46"/>
    </row>
    <row r="1044">
      <c r="C1044" s="86"/>
      <c r="F1044" s="87"/>
      <c r="G1044" s="87"/>
      <c r="H1044" s="46"/>
      <c r="J1044" s="46"/>
    </row>
    <row r="1045">
      <c r="C1045" s="86"/>
      <c r="F1045" s="87"/>
      <c r="G1045" s="87"/>
      <c r="H1045" s="46"/>
      <c r="J1045" s="46"/>
    </row>
    <row r="1046">
      <c r="C1046" s="86"/>
      <c r="F1046" s="87"/>
      <c r="G1046" s="87"/>
      <c r="H1046" s="46"/>
      <c r="J1046" s="46"/>
    </row>
    <row r="1047">
      <c r="C1047" s="86"/>
      <c r="F1047" s="87"/>
      <c r="G1047" s="87"/>
      <c r="H1047" s="46"/>
      <c r="J1047" s="46"/>
    </row>
    <row r="1048">
      <c r="C1048" s="86"/>
      <c r="F1048" s="87"/>
      <c r="G1048" s="87"/>
      <c r="H1048" s="46"/>
      <c r="J1048" s="46"/>
    </row>
    <row r="1049">
      <c r="C1049" s="86"/>
      <c r="F1049" s="87"/>
      <c r="G1049" s="87"/>
      <c r="H1049" s="46"/>
      <c r="J1049" s="46"/>
    </row>
    <row r="1050">
      <c r="C1050" s="86"/>
      <c r="F1050" s="87"/>
      <c r="G1050" s="87"/>
      <c r="H1050" s="46"/>
      <c r="J1050" s="46"/>
    </row>
    <row r="1051">
      <c r="C1051" s="86"/>
      <c r="F1051" s="87"/>
      <c r="G1051" s="87"/>
      <c r="H1051" s="46"/>
      <c r="J1051" s="46"/>
    </row>
    <row r="1052">
      <c r="C1052" s="86"/>
      <c r="F1052" s="87"/>
      <c r="G1052" s="87"/>
      <c r="H1052" s="46"/>
      <c r="J1052" s="46"/>
    </row>
    <row r="1053">
      <c r="C1053" s="86"/>
      <c r="F1053" s="87"/>
      <c r="G1053" s="87"/>
      <c r="H1053" s="46"/>
      <c r="J1053" s="46"/>
    </row>
    <row r="1054">
      <c r="C1054" s="86"/>
      <c r="F1054" s="87"/>
      <c r="G1054" s="87"/>
      <c r="H1054" s="46"/>
      <c r="J1054" s="46"/>
    </row>
    <row r="1055">
      <c r="C1055" s="86"/>
      <c r="F1055" s="87"/>
      <c r="G1055" s="87"/>
      <c r="H1055" s="46"/>
      <c r="J1055" s="46"/>
    </row>
    <row r="1056">
      <c r="C1056" s="86"/>
      <c r="F1056" s="87"/>
      <c r="G1056" s="87"/>
      <c r="H1056" s="46"/>
      <c r="J1056" s="46"/>
    </row>
    <row r="1057">
      <c r="C1057" s="86"/>
      <c r="F1057" s="87"/>
      <c r="G1057" s="87"/>
      <c r="H1057" s="46"/>
      <c r="J1057" s="46"/>
    </row>
    <row r="1058">
      <c r="C1058" s="86"/>
      <c r="F1058" s="87"/>
      <c r="G1058" s="87"/>
      <c r="H1058" s="46"/>
      <c r="J1058" s="46"/>
    </row>
    <row r="1059">
      <c r="C1059" s="86"/>
      <c r="F1059" s="87"/>
      <c r="G1059" s="87"/>
      <c r="H1059" s="46"/>
      <c r="J1059" s="46"/>
    </row>
    <row r="1060">
      <c r="C1060" s="86"/>
      <c r="F1060" s="87"/>
      <c r="G1060" s="87"/>
      <c r="H1060" s="46"/>
      <c r="J1060" s="46"/>
    </row>
    <row r="1061">
      <c r="C1061" s="86"/>
      <c r="F1061" s="87"/>
      <c r="G1061" s="87"/>
      <c r="H1061" s="46"/>
      <c r="J1061" s="46"/>
    </row>
    <row r="1062">
      <c r="C1062" s="86"/>
      <c r="F1062" s="87"/>
      <c r="G1062" s="87"/>
      <c r="H1062" s="46"/>
      <c r="J1062" s="46"/>
    </row>
    <row r="1063">
      <c r="C1063" s="86"/>
      <c r="F1063" s="87"/>
      <c r="G1063" s="87"/>
      <c r="H1063" s="46"/>
      <c r="J1063" s="46"/>
    </row>
    <row r="1064">
      <c r="C1064" s="86"/>
      <c r="F1064" s="87"/>
      <c r="G1064" s="87"/>
      <c r="H1064" s="46"/>
      <c r="J1064" s="46"/>
    </row>
    <row r="1065">
      <c r="C1065" s="86"/>
      <c r="F1065" s="87"/>
      <c r="G1065" s="87"/>
      <c r="H1065" s="46"/>
      <c r="J1065" s="46"/>
    </row>
    <row r="1066">
      <c r="C1066" s="86"/>
      <c r="F1066" s="87"/>
      <c r="G1066" s="87"/>
      <c r="H1066" s="46"/>
      <c r="J1066" s="46"/>
    </row>
    <row r="1067">
      <c r="C1067" s="86"/>
      <c r="F1067" s="87"/>
      <c r="G1067" s="87"/>
      <c r="H1067" s="46"/>
      <c r="J1067" s="46"/>
    </row>
    <row r="1068">
      <c r="C1068" s="86"/>
      <c r="F1068" s="87"/>
      <c r="G1068" s="87"/>
      <c r="H1068" s="46"/>
      <c r="J1068" s="46"/>
    </row>
    <row r="1069">
      <c r="C1069" s="86"/>
      <c r="F1069" s="87"/>
      <c r="G1069" s="87"/>
      <c r="H1069" s="46"/>
      <c r="J1069" s="46"/>
    </row>
    <row r="1070">
      <c r="C1070" s="86"/>
      <c r="F1070" s="87"/>
      <c r="G1070" s="87"/>
      <c r="H1070" s="46"/>
      <c r="J1070" s="46"/>
    </row>
    <row r="1071">
      <c r="C1071" s="86"/>
      <c r="F1071" s="87"/>
      <c r="G1071" s="87"/>
      <c r="H1071" s="46"/>
      <c r="J1071" s="46"/>
    </row>
    <row r="1072">
      <c r="C1072" s="86"/>
      <c r="F1072" s="87"/>
      <c r="G1072" s="87"/>
      <c r="H1072" s="46"/>
      <c r="J1072" s="46"/>
    </row>
    <row r="1073">
      <c r="C1073" s="86"/>
      <c r="F1073" s="87"/>
      <c r="G1073" s="87"/>
      <c r="H1073" s="46"/>
      <c r="J1073" s="46"/>
    </row>
    <row r="1074">
      <c r="C1074" s="86"/>
      <c r="F1074" s="87"/>
      <c r="G1074" s="87"/>
      <c r="H1074" s="46"/>
      <c r="J1074" s="46"/>
    </row>
    <row r="1075">
      <c r="C1075" s="86"/>
      <c r="F1075" s="87"/>
      <c r="G1075" s="87"/>
      <c r="H1075" s="46"/>
      <c r="J1075" s="46"/>
    </row>
    <row r="1076">
      <c r="C1076" s="86"/>
      <c r="F1076" s="87"/>
      <c r="G1076" s="87"/>
      <c r="H1076" s="46"/>
      <c r="J1076" s="46"/>
    </row>
    <row r="1077">
      <c r="C1077" s="86"/>
      <c r="F1077" s="87"/>
      <c r="G1077" s="87"/>
      <c r="H1077" s="46"/>
      <c r="J1077" s="46"/>
    </row>
    <row r="1078">
      <c r="C1078" s="86"/>
      <c r="F1078" s="87"/>
      <c r="G1078" s="87"/>
      <c r="H1078" s="46"/>
      <c r="J1078" s="46"/>
    </row>
    <row r="1079">
      <c r="C1079" s="86"/>
      <c r="F1079" s="87"/>
      <c r="G1079" s="87"/>
      <c r="H1079" s="46"/>
      <c r="J1079" s="46"/>
    </row>
    <row r="1080">
      <c r="C1080" s="86"/>
      <c r="F1080" s="87"/>
      <c r="G1080" s="87"/>
      <c r="H1080" s="46"/>
      <c r="J1080" s="46"/>
    </row>
    <row r="1081">
      <c r="C1081" s="86"/>
      <c r="F1081" s="87"/>
      <c r="G1081" s="87"/>
      <c r="H1081" s="46"/>
      <c r="J1081" s="46"/>
    </row>
    <row r="1082">
      <c r="C1082" s="86"/>
      <c r="F1082" s="87"/>
      <c r="G1082" s="87"/>
      <c r="H1082" s="46"/>
      <c r="J1082" s="46"/>
    </row>
    <row r="1083">
      <c r="C1083" s="86"/>
      <c r="F1083" s="87"/>
      <c r="G1083" s="87"/>
      <c r="H1083" s="46"/>
      <c r="J1083" s="46"/>
    </row>
    <row r="1084">
      <c r="C1084" s="86"/>
      <c r="F1084" s="87"/>
      <c r="G1084" s="87"/>
      <c r="H1084" s="46"/>
      <c r="J1084" s="46"/>
    </row>
    <row r="1085">
      <c r="C1085" s="86"/>
      <c r="F1085" s="87"/>
      <c r="G1085" s="87"/>
      <c r="H1085" s="46"/>
      <c r="J1085" s="46"/>
    </row>
    <row r="1086">
      <c r="C1086" s="86"/>
      <c r="F1086" s="87"/>
      <c r="G1086" s="87"/>
      <c r="H1086" s="46"/>
      <c r="J1086" s="46"/>
    </row>
    <row r="1087">
      <c r="C1087" s="86"/>
      <c r="F1087" s="87"/>
      <c r="G1087" s="87"/>
      <c r="H1087" s="46"/>
      <c r="J1087" s="46"/>
    </row>
    <row r="1088">
      <c r="C1088" s="86"/>
      <c r="F1088" s="87"/>
      <c r="G1088" s="87"/>
      <c r="H1088" s="46"/>
      <c r="J1088" s="46"/>
    </row>
    <row r="1089">
      <c r="C1089" s="86"/>
      <c r="F1089" s="87"/>
      <c r="G1089" s="87"/>
      <c r="H1089" s="46"/>
      <c r="J1089" s="46"/>
    </row>
    <row r="1090">
      <c r="C1090" s="86"/>
      <c r="F1090" s="87"/>
      <c r="G1090" s="87"/>
      <c r="H1090" s="46"/>
      <c r="J1090" s="46"/>
    </row>
    <row r="1091">
      <c r="C1091" s="86"/>
      <c r="F1091" s="87"/>
      <c r="G1091" s="87"/>
      <c r="H1091" s="46"/>
      <c r="J1091" s="46"/>
    </row>
    <row r="1092">
      <c r="C1092" s="86"/>
      <c r="F1092" s="87"/>
      <c r="G1092" s="87"/>
      <c r="H1092" s="46"/>
      <c r="J1092" s="46"/>
    </row>
    <row r="1093">
      <c r="C1093" s="86"/>
      <c r="F1093" s="87"/>
      <c r="G1093" s="87"/>
      <c r="H1093" s="46"/>
      <c r="J1093" s="46"/>
    </row>
    <row r="1094">
      <c r="C1094" s="86"/>
      <c r="F1094" s="87"/>
      <c r="G1094" s="87"/>
      <c r="H1094" s="46"/>
      <c r="J1094" s="46"/>
    </row>
    <row r="1095">
      <c r="C1095" s="86"/>
      <c r="F1095" s="87"/>
      <c r="G1095" s="87"/>
      <c r="H1095" s="46"/>
      <c r="J1095" s="46"/>
    </row>
    <row r="1096">
      <c r="C1096" s="86"/>
      <c r="F1096" s="87"/>
      <c r="G1096" s="87"/>
      <c r="H1096" s="46"/>
      <c r="J1096" s="46"/>
    </row>
    <row r="1097">
      <c r="C1097" s="86"/>
      <c r="F1097" s="87"/>
      <c r="G1097" s="87"/>
      <c r="H1097" s="46"/>
      <c r="J1097" s="46"/>
    </row>
    <row r="1098">
      <c r="C1098" s="86"/>
      <c r="F1098" s="87"/>
      <c r="G1098" s="87"/>
      <c r="H1098" s="46"/>
      <c r="J1098" s="46"/>
    </row>
    <row r="1099">
      <c r="C1099" s="86"/>
      <c r="F1099" s="87"/>
      <c r="G1099" s="87"/>
      <c r="H1099" s="46"/>
      <c r="J1099" s="46"/>
    </row>
    <row r="1100">
      <c r="C1100" s="86"/>
      <c r="F1100" s="87"/>
      <c r="G1100" s="87"/>
      <c r="H1100" s="46"/>
      <c r="J1100" s="46"/>
    </row>
    <row r="1101">
      <c r="C1101" s="86"/>
      <c r="F1101" s="87"/>
      <c r="G1101" s="87"/>
      <c r="H1101" s="46"/>
      <c r="J1101" s="46"/>
    </row>
    <row r="1102">
      <c r="C1102" s="86"/>
      <c r="F1102" s="87"/>
      <c r="G1102" s="87"/>
      <c r="H1102" s="46"/>
      <c r="J1102" s="46"/>
    </row>
    <row r="1103">
      <c r="C1103" s="86"/>
      <c r="F1103" s="87"/>
      <c r="G1103" s="87"/>
      <c r="H1103" s="46"/>
      <c r="J1103" s="46"/>
    </row>
    <row r="1104">
      <c r="C1104" s="86"/>
      <c r="F1104" s="87"/>
      <c r="G1104" s="87"/>
      <c r="H1104" s="46"/>
      <c r="J1104" s="46"/>
    </row>
    <row r="1105">
      <c r="C1105" s="86"/>
      <c r="F1105" s="87"/>
      <c r="G1105" s="87"/>
      <c r="H1105" s="46"/>
      <c r="J1105" s="46"/>
    </row>
    <row r="1106">
      <c r="C1106" s="86"/>
      <c r="F1106" s="87"/>
      <c r="G1106" s="87"/>
      <c r="H1106" s="46"/>
      <c r="J1106" s="46"/>
    </row>
    <row r="1107">
      <c r="C1107" s="86"/>
      <c r="F1107" s="87"/>
      <c r="G1107" s="87"/>
      <c r="H1107" s="46"/>
      <c r="J1107" s="46"/>
    </row>
    <row r="1108">
      <c r="C1108" s="86"/>
      <c r="F1108" s="87"/>
      <c r="G1108" s="87"/>
      <c r="H1108" s="46"/>
      <c r="J1108" s="46"/>
    </row>
    <row r="1109">
      <c r="C1109" s="86"/>
      <c r="F1109" s="87"/>
      <c r="G1109" s="87"/>
      <c r="H1109" s="46"/>
      <c r="J1109" s="46"/>
    </row>
    <row r="1110">
      <c r="C1110" s="86"/>
      <c r="F1110" s="87"/>
      <c r="G1110" s="87"/>
      <c r="H1110" s="46"/>
      <c r="J1110" s="46"/>
    </row>
    <row r="1111">
      <c r="C1111" s="86"/>
      <c r="F1111" s="87"/>
      <c r="G1111" s="87"/>
      <c r="H1111" s="46"/>
      <c r="J1111" s="46"/>
    </row>
    <row r="1112">
      <c r="C1112" s="86"/>
      <c r="F1112" s="87"/>
      <c r="G1112" s="87"/>
      <c r="H1112" s="46"/>
      <c r="J1112" s="46"/>
    </row>
    <row r="1113">
      <c r="C1113" s="86"/>
      <c r="F1113" s="87"/>
      <c r="G1113" s="87"/>
      <c r="H1113" s="46"/>
      <c r="J1113" s="46"/>
    </row>
    <row r="1114">
      <c r="C1114" s="86"/>
      <c r="F1114" s="87"/>
      <c r="G1114" s="87"/>
      <c r="H1114" s="46"/>
      <c r="J1114" s="46"/>
    </row>
    <row r="1115">
      <c r="C1115" s="86"/>
      <c r="F1115" s="87"/>
      <c r="G1115" s="87"/>
      <c r="H1115" s="46"/>
      <c r="J1115" s="46"/>
    </row>
    <row r="1116">
      <c r="C1116" s="86"/>
      <c r="F1116" s="87"/>
      <c r="G1116" s="87"/>
      <c r="H1116" s="46"/>
      <c r="J1116" s="46"/>
    </row>
    <row r="1117">
      <c r="C1117" s="86"/>
      <c r="F1117" s="87"/>
      <c r="G1117" s="87"/>
      <c r="H1117" s="46"/>
      <c r="J1117" s="46"/>
    </row>
    <row r="1118">
      <c r="C1118" s="86"/>
      <c r="F1118" s="87"/>
      <c r="G1118" s="87"/>
      <c r="H1118" s="46"/>
      <c r="J1118" s="46"/>
    </row>
    <row r="1119">
      <c r="C1119" s="86"/>
      <c r="F1119" s="87"/>
      <c r="G1119" s="87"/>
      <c r="H1119" s="46"/>
      <c r="J1119" s="46"/>
    </row>
    <row r="1120">
      <c r="C1120" s="86"/>
      <c r="F1120" s="87"/>
      <c r="G1120" s="87"/>
      <c r="H1120" s="46"/>
      <c r="J1120" s="46"/>
    </row>
    <row r="1121">
      <c r="C1121" s="86"/>
      <c r="F1121" s="87"/>
      <c r="G1121" s="87"/>
      <c r="H1121" s="46"/>
      <c r="J1121" s="46"/>
    </row>
    <row r="1122">
      <c r="C1122" s="86"/>
      <c r="F1122" s="87"/>
      <c r="G1122" s="87"/>
      <c r="H1122" s="46"/>
      <c r="J1122" s="46"/>
    </row>
    <row r="1123">
      <c r="C1123" s="86"/>
      <c r="F1123" s="87"/>
      <c r="G1123" s="87"/>
      <c r="H1123" s="46"/>
      <c r="J1123" s="46"/>
    </row>
    <row r="1124">
      <c r="C1124" s="86"/>
      <c r="F1124" s="87"/>
      <c r="G1124" s="87"/>
      <c r="H1124" s="46"/>
      <c r="J1124" s="46"/>
    </row>
    <row r="1125">
      <c r="C1125" s="86"/>
      <c r="F1125" s="87"/>
      <c r="G1125" s="87"/>
      <c r="H1125" s="46"/>
      <c r="J1125" s="46"/>
    </row>
    <row r="1126">
      <c r="C1126" s="86"/>
      <c r="F1126" s="87"/>
      <c r="G1126" s="87"/>
      <c r="H1126" s="46"/>
      <c r="J1126" s="46"/>
    </row>
    <row r="1127">
      <c r="C1127" s="86"/>
      <c r="F1127" s="87"/>
      <c r="G1127" s="87"/>
      <c r="H1127" s="46"/>
      <c r="J1127" s="46"/>
    </row>
    <row r="1128">
      <c r="C1128" s="86"/>
      <c r="F1128" s="87"/>
      <c r="G1128" s="87"/>
      <c r="H1128" s="46"/>
      <c r="J1128" s="46"/>
    </row>
    <row r="1129">
      <c r="C1129" s="86"/>
      <c r="F1129" s="87"/>
      <c r="G1129" s="87"/>
      <c r="H1129" s="46"/>
      <c r="J1129" s="46"/>
    </row>
    <row r="1130">
      <c r="C1130" s="86"/>
      <c r="F1130" s="87"/>
      <c r="G1130" s="87"/>
      <c r="H1130" s="46"/>
      <c r="J1130" s="46"/>
    </row>
    <row r="1131">
      <c r="C1131" s="86"/>
      <c r="F1131" s="87"/>
      <c r="G1131" s="87"/>
      <c r="H1131" s="46"/>
      <c r="J1131" s="46"/>
    </row>
    <row r="1132">
      <c r="C1132" s="86"/>
      <c r="F1132" s="87"/>
      <c r="G1132" s="87"/>
      <c r="H1132" s="46"/>
      <c r="J1132" s="46"/>
    </row>
    <row r="1133">
      <c r="C1133" s="86"/>
      <c r="F1133" s="87"/>
      <c r="G1133" s="87"/>
      <c r="H1133" s="46"/>
      <c r="J1133" s="46"/>
    </row>
    <row r="1134">
      <c r="C1134" s="86"/>
      <c r="F1134" s="87"/>
      <c r="G1134" s="87"/>
      <c r="H1134" s="46"/>
      <c r="J1134" s="46"/>
    </row>
    <row r="1135">
      <c r="C1135" s="86"/>
      <c r="F1135" s="87"/>
      <c r="G1135" s="87"/>
      <c r="H1135" s="46"/>
      <c r="J1135" s="46"/>
    </row>
    <row r="1136">
      <c r="C1136" s="86"/>
      <c r="F1136" s="87"/>
      <c r="G1136" s="87"/>
      <c r="H1136" s="46"/>
      <c r="J1136" s="46"/>
    </row>
    <row r="1137">
      <c r="C1137" s="86"/>
      <c r="F1137" s="87"/>
      <c r="G1137" s="87"/>
      <c r="H1137" s="46"/>
      <c r="J1137" s="46"/>
    </row>
    <row r="1138">
      <c r="C1138" s="86"/>
      <c r="F1138" s="87"/>
      <c r="G1138" s="87"/>
      <c r="H1138" s="46"/>
      <c r="J1138" s="46"/>
    </row>
    <row r="1139">
      <c r="C1139" s="86"/>
      <c r="F1139" s="87"/>
      <c r="G1139" s="87"/>
      <c r="H1139" s="46"/>
      <c r="J1139" s="46"/>
    </row>
    <row r="1140">
      <c r="C1140" s="86"/>
      <c r="F1140" s="87"/>
      <c r="G1140" s="87"/>
      <c r="H1140" s="46"/>
      <c r="J1140" s="46"/>
    </row>
    <row r="1141">
      <c r="C1141" s="86"/>
      <c r="F1141" s="87"/>
      <c r="G1141" s="87"/>
      <c r="H1141" s="46"/>
      <c r="J1141" s="46"/>
    </row>
    <row r="1142">
      <c r="C1142" s="86"/>
      <c r="F1142" s="87"/>
      <c r="G1142" s="87"/>
      <c r="H1142" s="46"/>
      <c r="J1142" s="46"/>
    </row>
    <row r="1143">
      <c r="C1143" s="86"/>
      <c r="F1143" s="87"/>
      <c r="G1143" s="87"/>
      <c r="H1143" s="46"/>
      <c r="J1143" s="46"/>
    </row>
    <row r="1144">
      <c r="C1144" s="86"/>
      <c r="F1144" s="87"/>
      <c r="G1144" s="87"/>
      <c r="H1144" s="46"/>
      <c r="J1144" s="46"/>
    </row>
    <row r="1145">
      <c r="C1145" s="86"/>
      <c r="F1145" s="87"/>
      <c r="G1145" s="87"/>
      <c r="H1145" s="46"/>
      <c r="J1145" s="46"/>
    </row>
    <row r="1146">
      <c r="C1146" s="86"/>
      <c r="F1146" s="87"/>
      <c r="G1146" s="87"/>
      <c r="H1146" s="46"/>
      <c r="J1146" s="46"/>
    </row>
    <row r="1147">
      <c r="C1147" s="86"/>
      <c r="F1147" s="87"/>
      <c r="G1147" s="87"/>
      <c r="H1147" s="46"/>
      <c r="J1147" s="46"/>
    </row>
    <row r="1148">
      <c r="C1148" s="86"/>
      <c r="F1148" s="87"/>
      <c r="G1148" s="87"/>
      <c r="H1148" s="46"/>
      <c r="J1148" s="46"/>
    </row>
    <row r="1149">
      <c r="C1149" s="86"/>
      <c r="F1149" s="87"/>
      <c r="G1149" s="87"/>
      <c r="H1149" s="46"/>
      <c r="J1149" s="46"/>
    </row>
    <row r="1150">
      <c r="C1150" s="86"/>
      <c r="F1150" s="87"/>
      <c r="G1150" s="87"/>
      <c r="H1150" s="46"/>
      <c r="J1150" s="46"/>
    </row>
    <row r="1151">
      <c r="C1151" s="86"/>
      <c r="F1151" s="87"/>
      <c r="G1151" s="87"/>
      <c r="H1151" s="46"/>
      <c r="J1151" s="46"/>
    </row>
    <row r="1152">
      <c r="C1152" s="86"/>
      <c r="F1152" s="87"/>
      <c r="G1152" s="87"/>
      <c r="H1152" s="46"/>
      <c r="J1152" s="46"/>
    </row>
    <row r="1153">
      <c r="C1153" s="86"/>
      <c r="F1153" s="87"/>
      <c r="G1153" s="87"/>
      <c r="H1153" s="46"/>
      <c r="J1153" s="46"/>
    </row>
    <row r="1154">
      <c r="C1154" s="86"/>
      <c r="F1154" s="87"/>
      <c r="G1154" s="87"/>
      <c r="H1154" s="46"/>
      <c r="J1154" s="46"/>
    </row>
    <row r="1155">
      <c r="C1155" s="86"/>
      <c r="F1155" s="87"/>
      <c r="G1155" s="87"/>
      <c r="H1155" s="46"/>
      <c r="J1155" s="46"/>
    </row>
    <row r="1156">
      <c r="C1156" s="86"/>
      <c r="F1156" s="87"/>
      <c r="G1156" s="87"/>
      <c r="H1156" s="46"/>
      <c r="J1156" s="46"/>
    </row>
    <row r="1157">
      <c r="C1157" s="86"/>
      <c r="F1157" s="87"/>
      <c r="G1157" s="87"/>
      <c r="H1157" s="46"/>
      <c r="J1157" s="46"/>
    </row>
    <row r="1158">
      <c r="C1158" s="86"/>
      <c r="F1158" s="87"/>
      <c r="G1158" s="87"/>
      <c r="H1158" s="46"/>
      <c r="J1158" s="46"/>
    </row>
    <row r="1159">
      <c r="C1159" s="86"/>
      <c r="F1159" s="87"/>
      <c r="G1159" s="87"/>
      <c r="H1159" s="46"/>
      <c r="J1159" s="46"/>
    </row>
    <row r="1160">
      <c r="C1160" s="86"/>
      <c r="F1160" s="87"/>
      <c r="G1160" s="87"/>
      <c r="H1160" s="46"/>
      <c r="J1160" s="46"/>
    </row>
    <row r="1161">
      <c r="C1161" s="86"/>
      <c r="F1161" s="87"/>
      <c r="G1161" s="87"/>
      <c r="H1161" s="46"/>
      <c r="J1161" s="46"/>
    </row>
    <row r="1162">
      <c r="C1162" s="86"/>
      <c r="F1162" s="87"/>
      <c r="G1162" s="87"/>
      <c r="H1162" s="46"/>
      <c r="J1162" s="46"/>
    </row>
    <row r="1163">
      <c r="C1163" s="86"/>
      <c r="F1163" s="87"/>
      <c r="G1163" s="87"/>
      <c r="H1163" s="46"/>
      <c r="J1163" s="46"/>
    </row>
    <row r="1164">
      <c r="C1164" s="86"/>
      <c r="F1164" s="87"/>
      <c r="G1164" s="87"/>
      <c r="H1164" s="46"/>
      <c r="J1164" s="46"/>
    </row>
    <row r="1165">
      <c r="C1165" s="86"/>
      <c r="F1165" s="87"/>
      <c r="G1165" s="87"/>
      <c r="H1165" s="46"/>
      <c r="J1165" s="46"/>
    </row>
    <row r="1166">
      <c r="C1166" s="86"/>
      <c r="F1166" s="87"/>
      <c r="G1166" s="87"/>
      <c r="H1166" s="46"/>
      <c r="J1166" s="46"/>
    </row>
    <row r="1167">
      <c r="C1167" s="86"/>
      <c r="F1167" s="87"/>
      <c r="G1167" s="87"/>
      <c r="H1167" s="46"/>
      <c r="J1167" s="46"/>
    </row>
    <row r="1168">
      <c r="C1168" s="86"/>
      <c r="F1168" s="87"/>
      <c r="G1168" s="87"/>
      <c r="H1168" s="46"/>
      <c r="J1168" s="46"/>
    </row>
    <row r="1169">
      <c r="C1169" s="86"/>
      <c r="F1169" s="87"/>
      <c r="G1169" s="87"/>
      <c r="H1169" s="46"/>
      <c r="J1169" s="46"/>
    </row>
    <row r="1170">
      <c r="C1170" s="86"/>
      <c r="F1170" s="87"/>
      <c r="G1170" s="87"/>
      <c r="H1170" s="46"/>
      <c r="J1170" s="46"/>
    </row>
    <row r="1171">
      <c r="C1171" s="86"/>
      <c r="F1171" s="87"/>
      <c r="G1171" s="87"/>
      <c r="H1171" s="46"/>
      <c r="J1171" s="46"/>
    </row>
    <row r="1172">
      <c r="C1172" s="86"/>
      <c r="F1172" s="87"/>
      <c r="G1172" s="87"/>
      <c r="H1172" s="46"/>
      <c r="J1172" s="46"/>
    </row>
    <row r="1173">
      <c r="C1173" s="86"/>
      <c r="F1173" s="87"/>
      <c r="G1173" s="87"/>
      <c r="H1173" s="46"/>
      <c r="J1173" s="46"/>
    </row>
    <row r="1174">
      <c r="C1174" s="86"/>
      <c r="F1174" s="87"/>
      <c r="G1174" s="87"/>
      <c r="H1174" s="46"/>
      <c r="J1174" s="46"/>
    </row>
    <row r="1175">
      <c r="C1175" s="86"/>
      <c r="F1175" s="87"/>
      <c r="G1175" s="87"/>
      <c r="H1175" s="46"/>
      <c r="J1175" s="46"/>
    </row>
    <row r="1176">
      <c r="C1176" s="86"/>
      <c r="F1176" s="87"/>
      <c r="G1176" s="87"/>
      <c r="H1176" s="46"/>
      <c r="J1176" s="46"/>
    </row>
    <row r="1177">
      <c r="C1177" s="86"/>
      <c r="F1177" s="87"/>
      <c r="G1177" s="87"/>
      <c r="H1177" s="46"/>
      <c r="J1177" s="46"/>
    </row>
    <row r="1178">
      <c r="C1178" s="86"/>
      <c r="F1178" s="87"/>
      <c r="G1178" s="87"/>
      <c r="H1178" s="46"/>
      <c r="J1178" s="46"/>
    </row>
    <row r="1179">
      <c r="C1179" s="86"/>
      <c r="F1179" s="87"/>
      <c r="G1179" s="87"/>
      <c r="H1179" s="46"/>
      <c r="J1179" s="46"/>
    </row>
    <row r="1180">
      <c r="C1180" s="86"/>
      <c r="F1180" s="87"/>
      <c r="G1180" s="87"/>
      <c r="H1180" s="46"/>
      <c r="J1180" s="46"/>
    </row>
    <row r="1181">
      <c r="C1181" s="86"/>
      <c r="F1181" s="87"/>
      <c r="G1181" s="87"/>
      <c r="H1181" s="46"/>
      <c r="J1181" s="46"/>
    </row>
    <row r="1182">
      <c r="C1182" s="86"/>
      <c r="F1182" s="87"/>
      <c r="G1182" s="87"/>
      <c r="H1182" s="46"/>
      <c r="J1182" s="46"/>
    </row>
    <row r="1183">
      <c r="C1183" s="86"/>
      <c r="F1183" s="87"/>
      <c r="G1183" s="87"/>
      <c r="H1183" s="46"/>
      <c r="J1183" s="46"/>
    </row>
    <row r="1184">
      <c r="C1184" s="86"/>
      <c r="F1184" s="87"/>
      <c r="G1184" s="87"/>
      <c r="H1184" s="46"/>
      <c r="J1184" s="46"/>
    </row>
    <row r="1185">
      <c r="C1185" s="86"/>
      <c r="F1185" s="87"/>
      <c r="G1185" s="87"/>
      <c r="H1185" s="46"/>
      <c r="J1185" s="46"/>
    </row>
    <row r="1186">
      <c r="C1186" s="86"/>
      <c r="F1186" s="87"/>
      <c r="G1186" s="87"/>
      <c r="H1186" s="46"/>
      <c r="J1186" s="46"/>
    </row>
    <row r="1187">
      <c r="C1187" s="86"/>
      <c r="F1187" s="87"/>
      <c r="G1187" s="87"/>
      <c r="H1187" s="46"/>
      <c r="J1187" s="46"/>
    </row>
    <row r="1188">
      <c r="C1188" s="86"/>
      <c r="F1188" s="87"/>
      <c r="G1188" s="87"/>
      <c r="H1188" s="46"/>
      <c r="J1188" s="46"/>
    </row>
    <row r="1189">
      <c r="C1189" s="86"/>
      <c r="F1189" s="87"/>
      <c r="G1189" s="87"/>
      <c r="H1189" s="46"/>
      <c r="J1189" s="46"/>
    </row>
    <row r="1190">
      <c r="C1190" s="86"/>
      <c r="F1190" s="87"/>
      <c r="G1190" s="87"/>
      <c r="H1190" s="46"/>
      <c r="J1190" s="46"/>
    </row>
    <row r="1191">
      <c r="C1191" s="86"/>
      <c r="F1191" s="87"/>
      <c r="G1191" s="87"/>
      <c r="H1191" s="46"/>
      <c r="J1191" s="46"/>
    </row>
    <row r="1192">
      <c r="C1192" s="86"/>
      <c r="F1192" s="87"/>
      <c r="G1192" s="87"/>
      <c r="H1192" s="46"/>
      <c r="J1192" s="46"/>
    </row>
    <row r="1193">
      <c r="C1193" s="86"/>
      <c r="F1193" s="87"/>
      <c r="G1193" s="87"/>
      <c r="H1193" s="46"/>
      <c r="J1193" s="46"/>
    </row>
    <row r="1194">
      <c r="C1194" s="86"/>
      <c r="F1194" s="87"/>
      <c r="G1194" s="87"/>
      <c r="H1194" s="46"/>
      <c r="J1194" s="46"/>
    </row>
    <row r="1195">
      <c r="C1195" s="86"/>
      <c r="F1195" s="87"/>
      <c r="G1195" s="87"/>
      <c r="H1195" s="46"/>
      <c r="J1195" s="46"/>
    </row>
    <row r="1196">
      <c r="C1196" s="86"/>
      <c r="F1196" s="87"/>
      <c r="G1196" s="87"/>
      <c r="H1196" s="46"/>
      <c r="J1196" s="46"/>
    </row>
    <row r="1197">
      <c r="C1197" s="86"/>
      <c r="F1197" s="87"/>
      <c r="G1197" s="87"/>
      <c r="H1197" s="46"/>
      <c r="J1197" s="46"/>
    </row>
    <row r="1198">
      <c r="C1198" s="86"/>
      <c r="F1198" s="87"/>
      <c r="G1198" s="87"/>
      <c r="H1198" s="46"/>
      <c r="J1198" s="46"/>
    </row>
    <row r="1199">
      <c r="C1199" s="86"/>
      <c r="F1199" s="87"/>
      <c r="G1199" s="87"/>
      <c r="H1199" s="46"/>
      <c r="J1199" s="46"/>
    </row>
    <row r="1200">
      <c r="C1200" s="86"/>
      <c r="F1200" s="87"/>
      <c r="G1200" s="87"/>
      <c r="H1200" s="46"/>
      <c r="J1200" s="46"/>
    </row>
    <row r="1201">
      <c r="C1201" s="86"/>
      <c r="F1201" s="87"/>
      <c r="G1201" s="87"/>
      <c r="H1201" s="46"/>
      <c r="J1201" s="46"/>
    </row>
    <row r="1202">
      <c r="C1202" s="86"/>
      <c r="F1202" s="87"/>
      <c r="G1202" s="87"/>
      <c r="H1202" s="46"/>
      <c r="J1202" s="46"/>
    </row>
    <row r="1203">
      <c r="C1203" s="86"/>
      <c r="F1203" s="87"/>
      <c r="G1203" s="87"/>
      <c r="H1203" s="46"/>
      <c r="J1203" s="46"/>
    </row>
    <row r="1204">
      <c r="C1204" s="86"/>
      <c r="F1204" s="87"/>
      <c r="G1204" s="87"/>
      <c r="H1204" s="46"/>
      <c r="J1204" s="46"/>
    </row>
    <row r="1205">
      <c r="C1205" s="86"/>
      <c r="F1205" s="87"/>
      <c r="G1205" s="87"/>
      <c r="H1205" s="46"/>
      <c r="J1205" s="46"/>
    </row>
    <row r="1206">
      <c r="C1206" s="86"/>
      <c r="F1206" s="87"/>
      <c r="G1206" s="87"/>
      <c r="H1206" s="46"/>
      <c r="J1206" s="46"/>
    </row>
    <row r="1207">
      <c r="C1207" s="86"/>
      <c r="F1207" s="87"/>
      <c r="G1207" s="87"/>
      <c r="H1207" s="46"/>
      <c r="J1207" s="46"/>
    </row>
    <row r="1208">
      <c r="C1208" s="86"/>
      <c r="F1208" s="87"/>
      <c r="G1208" s="87"/>
      <c r="H1208" s="46"/>
      <c r="J1208" s="46"/>
    </row>
    <row r="1209">
      <c r="C1209" s="86"/>
      <c r="F1209" s="87"/>
      <c r="G1209" s="87"/>
      <c r="H1209" s="46"/>
      <c r="J1209" s="46"/>
    </row>
    <row r="1210">
      <c r="C1210" s="86"/>
      <c r="F1210" s="87"/>
      <c r="G1210" s="87"/>
      <c r="H1210" s="46"/>
      <c r="J1210" s="46"/>
    </row>
    <row r="1211">
      <c r="C1211" s="86"/>
      <c r="F1211" s="87"/>
      <c r="G1211" s="87"/>
      <c r="H1211" s="46"/>
      <c r="J1211" s="46"/>
    </row>
    <row r="1212">
      <c r="C1212" s="86"/>
      <c r="F1212" s="87"/>
      <c r="G1212" s="87"/>
      <c r="H1212" s="46"/>
      <c r="J1212" s="46"/>
    </row>
    <row r="1213">
      <c r="C1213" s="86"/>
      <c r="F1213" s="87"/>
      <c r="G1213" s="87"/>
      <c r="H1213" s="46"/>
      <c r="J1213" s="46"/>
    </row>
    <row r="1214">
      <c r="C1214" s="86"/>
      <c r="F1214" s="87"/>
      <c r="G1214" s="87"/>
      <c r="H1214" s="46"/>
      <c r="J1214" s="46"/>
    </row>
    <row r="1215">
      <c r="C1215" s="86"/>
      <c r="F1215" s="87"/>
      <c r="G1215" s="87"/>
      <c r="H1215" s="46"/>
      <c r="J1215" s="46"/>
    </row>
    <row r="1216">
      <c r="C1216" s="86"/>
      <c r="F1216" s="87"/>
      <c r="G1216" s="87"/>
      <c r="H1216" s="46"/>
      <c r="J1216" s="46"/>
    </row>
    <row r="1217">
      <c r="C1217" s="86"/>
      <c r="F1217" s="87"/>
      <c r="G1217" s="87"/>
      <c r="H1217" s="46"/>
      <c r="J1217" s="46"/>
    </row>
    <row r="1218">
      <c r="C1218" s="86"/>
      <c r="F1218" s="87"/>
      <c r="G1218" s="87"/>
      <c r="H1218" s="46"/>
      <c r="J1218" s="46"/>
    </row>
    <row r="1219">
      <c r="C1219" s="86"/>
      <c r="F1219" s="87"/>
      <c r="G1219" s="87"/>
      <c r="H1219" s="46"/>
      <c r="J1219" s="46"/>
    </row>
    <row r="1220">
      <c r="C1220" s="86"/>
      <c r="F1220" s="87"/>
      <c r="G1220" s="87"/>
      <c r="H1220" s="46"/>
      <c r="J1220" s="46"/>
    </row>
    <row r="1221">
      <c r="C1221" s="86"/>
      <c r="F1221" s="87"/>
      <c r="G1221" s="87"/>
      <c r="H1221" s="46"/>
      <c r="J1221" s="46"/>
    </row>
    <row r="1222">
      <c r="C1222" s="86"/>
      <c r="F1222" s="87"/>
      <c r="G1222" s="87"/>
      <c r="H1222" s="46"/>
      <c r="J1222" s="46"/>
    </row>
    <row r="1223">
      <c r="C1223" s="86"/>
      <c r="F1223" s="87"/>
      <c r="G1223" s="87"/>
      <c r="H1223" s="46"/>
      <c r="J1223" s="46"/>
    </row>
    <row r="1224">
      <c r="C1224" s="86"/>
      <c r="F1224" s="87"/>
      <c r="G1224" s="87"/>
      <c r="H1224" s="46"/>
      <c r="J1224" s="46"/>
    </row>
    <row r="1225">
      <c r="C1225" s="86"/>
      <c r="F1225" s="87"/>
      <c r="G1225" s="87"/>
      <c r="H1225" s="46"/>
      <c r="J1225" s="46"/>
    </row>
    <row r="1226">
      <c r="C1226" s="86"/>
      <c r="F1226" s="87"/>
      <c r="G1226" s="87"/>
      <c r="H1226" s="46"/>
      <c r="J1226" s="46"/>
    </row>
    <row r="1227">
      <c r="C1227" s="86"/>
      <c r="F1227" s="87"/>
      <c r="G1227" s="87"/>
      <c r="H1227" s="46"/>
      <c r="J1227" s="46"/>
    </row>
    <row r="1228">
      <c r="C1228" s="86"/>
      <c r="F1228" s="87"/>
      <c r="G1228" s="87"/>
      <c r="H1228" s="46"/>
      <c r="J1228" s="46"/>
    </row>
    <row r="1229">
      <c r="C1229" s="86"/>
      <c r="F1229" s="87"/>
      <c r="G1229" s="87"/>
      <c r="H1229" s="46"/>
      <c r="J1229" s="46"/>
    </row>
    <row r="1230">
      <c r="C1230" s="86"/>
      <c r="F1230" s="87"/>
      <c r="G1230" s="87"/>
      <c r="H1230" s="46"/>
      <c r="J1230" s="46"/>
    </row>
    <row r="1231">
      <c r="C1231" s="86"/>
      <c r="F1231" s="87"/>
      <c r="G1231" s="87"/>
      <c r="H1231" s="46"/>
      <c r="J1231" s="46"/>
    </row>
    <row r="1232">
      <c r="C1232" s="86"/>
      <c r="F1232" s="87"/>
      <c r="G1232" s="87"/>
      <c r="H1232" s="46"/>
      <c r="J1232" s="46"/>
    </row>
    <row r="1233">
      <c r="C1233" s="86"/>
      <c r="F1233" s="87"/>
      <c r="G1233" s="87"/>
      <c r="H1233" s="46"/>
      <c r="J1233" s="46"/>
    </row>
    <row r="1234">
      <c r="C1234" s="86"/>
      <c r="F1234" s="87"/>
      <c r="G1234" s="87"/>
      <c r="H1234" s="46"/>
      <c r="J1234" s="46"/>
    </row>
    <row r="1235">
      <c r="C1235" s="86"/>
      <c r="F1235" s="87"/>
      <c r="G1235" s="87"/>
      <c r="H1235" s="46"/>
      <c r="J1235" s="46"/>
    </row>
    <row r="1236">
      <c r="C1236" s="86"/>
      <c r="F1236" s="87"/>
      <c r="G1236" s="87"/>
      <c r="H1236" s="46"/>
      <c r="J1236" s="46"/>
    </row>
    <row r="1237">
      <c r="C1237" s="86"/>
      <c r="F1237" s="87"/>
      <c r="G1237" s="87"/>
      <c r="H1237" s="46"/>
      <c r="J1237" s="46"/>
    </row>
    <row r="1238">
      <c r="C1238" s="86"/>
      <c r="F1238" s="87"/>
      <c r="G1238" s="87"/>
      <c r="H1238" s="46"/>
      <c r="J1238" s="46"/>
    </row>
    <row r="1239">
      <c r="C1239" s="86"/>
      <c r="F1239" s="87"/>
      <c r="G1239" s="87"/>
      <c r="H1239" s="46"/>
      <c r="J1239" s="46"/>
    </row>
    <row r="1240">
      <c r="C1240" s="86"/>
      <c r="F1240" s="87"/>
      <c r="G1240" s="87"/>
      <c r="H1240" s="46"/>
      <c r="J1240" s="46"/>
    </row>
    <row r="1241">
      <c r="C1241" s="86"/>
      <c r="F1241" s="87"/>
      <c r="G1241" s="87"/>
      <c r="H1241" s="46"/>
      <c r="J1241" s="46"/>
    </row>
    <row r="1242">
      <c r="C1242" s="86"/>
      <c r="F1242" s="87"/>
      <c r="G1242" s="87"/>
      <c r="H1242" s="46"/>
      <c r="J1242" s="46"/>
    </row>
    <row r="1243">
      <c r="C1243" s="86"/>
      <c r="F1243" s="87"/>
      <c r="G1243" s="87"/>
      <c r="H1243" s="46"/>
      <c r="J1243" s="46"/>
    </row>
    <row r="1244">
      <c r="C1244" s="86"/>
      <c r="F1244" s="87"/>
      <c r="G1244" s="87"/>
      <c r="H1244" s="46"/>
      <c r="J1244" s="46"/>
    </row>
    <row r="1245">
      <c r="C1245" s="86"/>
      <c r="F1245" s="87"/>
      <c r="G1245" s="87"/>
      <c r="H1245" s="46"/>
      <c r="J1245" s="46"/>
    </row>
  </sheetData>
  <dataValidations>
    <dataValidation type="list" allowBlank="1" showErrorMessage="1" sqref="I2:I282 K2:K282">
      <formula1>SOCIOS!$A$2:$A$4</formula1>
    </dataValidation>
    <dataValidation type="custom" allowBlank="1" showDropDown="1" sqref="C2:C282">
      <formula1>OR(NOT(ISERROR(DATEVALUE(C2))), AND(ISNUMBER(C2), LEFT(CELL("format", C2))="D"))</formula1>
    </dataValidation>
    <dataValidation type="custom" allowBlank="1" showDropDown="1" sqref="E2:E282 G2:G282 J2:J282 L2:L282">
      <formula1>AND(ISNUMBER(E2),(NOT(OR(NOT(ISERROR(DATEVALUE(E2))), AND(ISNUMBER(E2), LEFT(CELL("format", E2))="D")))))</formula1>
    </dataValidation>
    <dataValidation type="list" allowBlank="1" showErrorMessage="1" sqref="D2:D282">
      <formula1>'LISTAS PRECIOS'!$A$2:$A$35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3.5"/>
    <col customWidth="1" min="4" max="4" width="30.13"/>
    <col customWidth="1" min="6" max="6" width="16.63"/>
  </cols>
  <sheetData>
    <row r="1" ht="22.5" customHeight="1">
      <c r="A1" s="62" t="s">
        <v>157</v>
      </c>
      <c r="B1" s="62" t="s">
        <v>99</v>
      </c>
      <c r="C1" s="62" t="s">
        <v>158</v>
      </c>
      <c r="D1" s="62" t="s">
        <v>159</v>
      </c>
      <c r="E1" s="64" t="s">
        <v>30</v>
      </c>
      <c r="F1" s="64" t="s">
        <v>160</v>
      </c>
      <c r="G1" s="65" t="s">
        <v>161</v>
      </c>
      <c r="H1" s="62" t="s">
        <v>162</v>
      </c>
      <c r="I1" s="66" t="s">
        <v>7</v>
      </c>
      <c r="J1" s="66" t="s">
        <v>139</v>
      </c>
    </row>
    <row r="2" ht="22.5" customHeight="1">
      <c r="A2" s="69">
        <v>45956.0</v>
      </c>
      <c r="B2" s="70" t="s">
        <v>46</v>
      </c>
      <c r="C2" s="70" t="s">
        <v>163</v>
      </c>
      <c r="D2" s="70" t="s">
        <v>164</v>
      </c>
      <c r="E2" s="84">
        <f t="array" ref="E2">XLOOKUP($D2,concepto_salarios,monto_salarios,0)</f>
        <v>100</v>
      </c>
      <c r="F2" s="72">
        <v>0.0</v>
      </c>
      <c r="G2" s="74">
        <v>0.0</v>
      </c>
      <c r="H2" s="84">
        <f t="shared" ref="H2:H705" si="1">E2-F2+G2</f>
        <v>100</v>
      </c>
      <c r="I2" s="76" t="str">
        <f t="shared" ref="I2:I732" si="2">IF(A2="","",TEXT(A2,"mmmm"))</f>
        <v>octubre</v>
      </c>
      <c r="J2" s="76">
        <f t="shared" ref="J2:J732" si="3">IF(A2="","",YEAR(A2))</f>
        <v>2025</v>
      </c>
    </row>
    <row r="3" ht="22.5" customHeight="1">
      <c r="A3" s="69">
        <v>45956.0</v>
      </c>
      <c r="B3" s="70" t="s">
        <v>61</v>
      </c>
      <c r="C3" s="70" t="s">
        <v>143</v>
      </c>
      <c r="D3" s="70" t="s">
        <v>165</v>
      </c>
      <c r="E3" s="84">
        <f t="array" ref="E3">XLOOKUP($D3,concepto_salarios,monto_salarios,0)</f>
        <v>90</v>
      </c>
      <c r="F3" s="72">
        <v>0.0</v>
      </c>
      <c r="G3" s="74">
        <v>0.0</v>
      </c>
      <c r="H3" s="84">
        <f t="shared" si="1"/>
        <v>90</v>
      </c>
      <c r="I3" s="76" t="str">
        <f t="shared" si="2"/>
        <v>octubre</v>
      </c>
      <c r="J3" s="76">
        <f t="shared" si="3"/>
        <v>2025</v>
      </c>
    </row>
    <row r="4" ht="22.5" customHeight="1">
      <c r="A4" s="69">
        <v>45956.0</v>
      </c>
      <c r="B4" s="70" t="s">
        <v>61</v>
      </c>
      <c r="C4" s="70" t="s">
        <v>143</v>
      </c>
      <c r="D4" s="70" t="s">
        <v>166</v>
      </c>
      <c r="E4" s="84">
        <f t="array" ref="E4">XLOOKUP($D4,concepto_salarios,monto_salarios,0)</f>
        <v>90</v>
      </c>
      <c r="F4" s="72">
        <v>0.0</v>
      </c>
      <c r="G4" s="74">
        <v>0.0</v>
      </c>
      <c r="H4" s="84">
        <f t="shared" si="1"/>
        <v>90</v>
      </c>
      <c r="I4" s="76" t="str">
        <f t="shared" si="2"/>
        <v>octubre</v>
      </c>
      <c r="J4" s="76">
        <f t="shared" si="3"/>
        <v>2025</v>
      </c>
    </row>
    <row r="5" ht="22.5" customHeight="1">
      <c r="A5" s="69">
        <v>45956.0</v>
      </c>
      <c r="B5" s="70" t="s">
        <v>61</v>
      </c>
      <c r="C5" s="70" t="s">
        <v>143</v>
      </c>
      <c r="D5" s="70" t="s">
        <v>167</v>
      </c>
      <c r="E5" s="84">
        <f t="array" ref="E5">XLOOKUP($D5,concepto_salarios,monto_salarios,0)</f>
        <v>100</v>
      </c>
      <c r="F5" s="72">
        <v>0.0</v>
      </c>
      <c r="G5" s="74">
        <v>0.0</v>
      </c>
      <c r="H5" s="84">
        <f t="shared" si="1"/>
        <v>100</v>
      </c>
      <c r="I5" s="76" t="str">
        <f t="shared" si="2"/>
        <v>octubre</v>
      </c>
      <c r="J5" s="76">
        <f t="shared" si="3"/>
        <v>2025</v>
      </c>
    </row>
    <row r="6" ht="22.5" customHeight="1">
      <c r="A6" s="69">
        <v>45956.0</v>
      </c>
      <c r="B6" s="70" t="s">
        <v>61</v>
      </c>
      <c r="C6" s="70" t="s">
        <v>143</v>
      </c>
      <c r="D6" s="70" t="s">
        <v>141</v>
      </c>
      <c r="E6" s="84">
        <f t="array" ref="E6">XLOOKUP($D6,concepto_salarios,monto_salarios,0)</f>
        <v>250</v>
      </c>
      <c r="F6" s="72">
        <v>0.0</v>
      </c>
      <c r="G6" s="74">
        <v>0.0</v>
      </c>
      <c r="H6" s="84">
        <f t="shared" si="1"/>
        <v>250</v>
      </c>
      <c r="I6" s="76" t="str">
        <f t="shared" si="2"/>
        <v>octubre</v>
      </c>
      <c r="J6" s="76">
        <f t="shared" si="3"/>
        <v>2025</v>
      </c>
    </row>
    <row r="7" ht="22.5" customHeight="1">
      <c r="A7" s="69">
        <v>45956.0</v>
      </c>
      <c r="B7" s="70" t="s">
        <v>73</v>
      </c>
      <c r="C7" s="70" t="s">
        <v>143</v>
      </c>
      <c r="D7" s="70" t="s">
        <v>165</v>
      </c>
      <c r="E7" s="84">
        <f t="array" ref="E7">XLOOKUP($D7,concepto_salarios,monto_salarios,0)</f>
        <v>90</v>
      </c>
      <c r="F7" s="72">
        <v>0.0</v>
      </c>
      <c r="G7" s="74">
        <v>0.0</v>
      </c>
      <c r="H7" s="84">
        <f t="shared" si="1"/>
        <v>90</v>
      </c>
      <c r="I7" s="76" t="str">
        <f t="shared" si="2"/>
        <v>octubre</v>
      </c>
      <c r="J7" s="76">
        <f t="shared" si="3"/>
        <v>2025</v>
      </c>
    </row>
    <row r="8" ht="22.5" customHeight="1">
      <c r="A8" s="69">
        <v>45956.0</v>
      </c>
      <c r="B8" s="70" t="s">
        <v>73</v>
      </c>
      <c r="C8" s="70" t="s">
        <v>143</v>
      </c>
      <c r="D8" s="70" t="s">
        <v>166</v>
      </c>
      <c r="E8" s="84">
        <f t="array" ref="E8">XLOOKUP($D8,concepto_salarios,monto_salarios,0)</f>
        <v>90</v>
      </c>
      <c r="F8" s="72">
        <v>0.0</v>
      </c>
      <c r="G8" s="74">
        <v>0.0</v>
      </c>
      <c r="H8" s="84">
        <f t="shared" si="1"/>
        <v>90</v>
      </c>
      <c r="I8" s="76" t="str">
        <f t="shared" si="2"/>
        <v>octubre</v>
      </c>
      <c r="J8" s="76">
        <f t="shared" si="3"/>
        <v>2025</v>
      </c>
    </row>
    <row r="9" ht="22.5" customHeight="1">
      <c r="A9" s="69">
        <v>45956.0</v>
      </c>
      <c r="B9" s="70" t="s">
        <v>73</v>
      </c>
      <c r="C9" s="70" t="s">
        <v>143</v>
      </c>
      <c r="D9" s="70" t="s">
        <v>167</v>
      </c>
      <c r="E9" s="84">
        <f t="array" ref="E9">XLOOKUP($D9,concepto_salarios,monto_salarios,0)</f>
        <v>100</v>
      </c>
      <c r="F9" s="72">
        <v>0.0</v>
      </c>
      <c r="G9" s="74">
        <v>0.0</v>
      </c>
      <c r="H9" s="84">
        <f t="shared" si="1"/>
        <v>100</v>
      </c>
      <c r="I9" s="76" t="str">
        <f t="shared" si="2"/>
        <v>octubre</v>
      </c>
      <c r="J9" s="76">
        <f t="shared" si="3"/>
        <v>2025</v>
      </c>
    </row>
    <row r="10" ht="22.5" customHeight="1">
      <c r="A10" s="69">
        <v>45956.0</v>
      </c>
      <c r="B10" s="70" t="s">
        <v>73</v>
      </c>
      <c r="C10" s="70" t="s">
        <v>140</v>
      </c>
      <c r="D10" s="70" t="s">
        <v>141</v>
      </c>
      <c r="E10" s="84">
        <f t="array" ref="E10">XLOOKUP($D10,concepto_salarios,monto_salarios,0)</f>
        <v>250</v>
      </c>
      <c r="F10" s="72">
        <v>0.0</v>
      </c>
      <c r="G10" s="74">
        <v>0.0</v>
      </c>
      <c r="H10" s="84">
        <f t="shared" si="1"/>
        <v>250</v>
      </c>
      <c r="I10" s="76" t="str">
        <f t="shared" si="2"/>
        <v>octubre</v>
      </c>
      <c r="J10" s="76">
        <f t="shared" si="3"/>
        <v>2025</v>
      </c>
    </row>
    <row r="11" ht="22.5" customHeight="1">
      <c r="A11" s="69">
        <v>45956.0</v>
      </c>
      <c r="B11" s="70" t="s">
        <v>70</v>
      </c>
      <c r="C11" s="70" t="s">
        <v>143</v>
      </c>
      <c r="D11" s="70" t="s">
        <v>168</v>
      </c>
      <c r="E11" s="84">
        <f t="array" ref="E11">XLOOKUP($D11,concepto_salarios,monto_salarios,0)</f>
        <v>75</v>
      </c>
      <c r="F11" s="72">
        <v>0.0</v>
      </c>
      <c r="G11" s="74">
        <v>0.0</v>
      </c>
      <c r="H11" s="84">
        <f t="shared" si="1"/>
        <v>75</v>
      </c>
      <c r="I11" s="76" t="str">
        <f t="shared" si="2"/>
        <v>octubre</v>
      </c>
      <c r="J11" s="76">
        <f t="shared" si="3"/>
        <v>2025</v>
      </c>
    </row>
    <row r="12" ht="22.5" customHeight="1">
      <c r="A12" s="69">
        <v>45956.0</v>
      </c>
      <c r="B12" s="70" t="s">
        <v>70</v>
      </c>
      <c r="C12" s="70" t="s">
        <v>143</v>
      </c>
      <c r="D12" s="70" t="s">
        <v>169</v>
      </c>
      <c r="E12" s="84">
        <f t="array" ref="E12">XLOOKUP($D12,concepto_salarios,monto_salarios,0)</f>
        <v>100</v>
      </c>
      <c r="F12" s="72">
        <v>0.0</v>
      </c>
      <c r="G12" s="74">
        <v>0.0</v>
      </c>
      <c r="H12" s="84">
        <f t="shared" si="1"/>
        <v>100</v>
      </c>
      <c r="I12" s="76" t="str">
        <f t="shared" si="2"/>
        <v>octubre</v>
      </c>
      <c r="J12" s="76">
        <f t="shared" si="3"/>
        <v>2025</v>
      </c>
    </row>
    <row r="13" ht="22.5" customHeight="1">
      <c r="A13" s="69">
        <v>45956.0</v>
      </c>
      <c r="B13" s="70" t="s">
        <v>70</v>
      </c>
      <c r="C13" s="70" t="s">
        <v>143</v>
      </c>
      <c r="D13" s="70" t="s">
        <v>170</v>
      </c>
      <c r="E13" s="84">
        <f t="array" ref="E13">XLOOKUP($D13,concepto_salarios,monto_salarios,0)</f>
        <v>150</v>
      </c>
      <c r="F13" s="72">
        <v>0.0</v>
      </c>
      <c r="G13" s="74">
        <v>0.0</v>
      </c>
      <c r="H13" s="84">
        <f t="shared" si="1"/>
        <v>150</v>
      </c>
      <c r="I13" s="76" t="str">
        <f t="shared" si="2"/>
        <v>octubre</v>
      </c>
      <c r="J13" s="76">
        <f t="shared" si="3"/>
        <v>2025</v>
      </c>
    </row>
    <row r="14" ht="22.5" customHeight="1">
      <c r="A14" s="69">
        <v>45956.0</v>
      </c>
      <c r="B14" s="70" t="s">
        <v>70</v>
      </c>
      <c r="C14" s="70" t="s">
        <v>140</v>
      </c>
      <c r="D14" s="70" t="s">
        <v>146</v>
      </c>
      <c r="E14" s="84">
        <f t="array" ref="E14">XLOOKUP($D14,concepto_salarios,monto_salarios,0)</f>
        <v>450</v>
      </c>
      <c r="F14" s="72">
        <v>0.0</v>
      </c>
      <c r="G14" s="74">
        <v>0.0</v>
      </c>
      <c r="H14" s="84">
        <f t="shared" si="1"/>
        <v>450</v>
      </c>
      <c r="I14" s="76" t="str">
        <f t="shared" si="2"/>
        <v>octubre</v>
      </c>
      <c r="J14" s="76">
        <f t="shared" si="3"/>
        <v>2025</v>
      </c>
    </row>
    <row r="15" ht="22.5" customHeight="1">
      <c r="A15" s="69">
        <v>45956.0</v>
      </c>
      <c r="B15" s="70" t="s">
        <v>70</v>
      </c>
      <c r="C15" s="70" t="s">
        <v>143</v>
      </c>
      <c r="D15" s="70" t="s">
        <v>171</v>
      </c>
      <c r="E15" s="84">
        <f t="array" ref="E15">XLOOKUP($D15,concepto_salarios,monto_salarios,0)</f>
        <v>100</v>
      </c>
      <c r="F15" s="72">
        <v>0.0</v>
      </c>
      <c r="G15" s="74">
        <v>0.0</v>
      </c>
      <c r="H15" s="84">
        <f t="shared" si="1"/>
        <v>100</v>
      </c>
      <c r="I15" s="76" t="str">
        <f t="shared" si="2"/>
        <v>octubre</v>
      </c>
      <c r="J15" s="76">
        <f t="shared" si="3"/>
        <v>2025</v>
      </c>
    </row>
    <row r="16" ht="22.5" customHeight="1">
      <c r="A16" s="69">
        <v>45956.0</v>
      </c>
      <c r="B16" s="70" t="s">
        <v>70</v>
      </c>
      <c r="C16" s="70" t="s">
        <v>143</v>
      </c>
      <c r="D16" s="70" t="s">
        <v>172</v>
      </c>
      <c r="E16" s="84">
        <f t="array" ref="E16">XLOOKUP($D16,concepto_salarios,monto_salarios,0)</f>
        <v>90</v>
      </c>
      <c r="F16" s="72">
        <v>0.0</v>
      </c>
      <c r="G16" s="74">
        <v>0.0</v>
      </c>
      <c r="H16" s="84">
        <f t="shared" si="1"/>
        <v>90</v>
      </c>
      <c r="I16" s="76" t="str">
        <f t="shared" si="2"/>
        <v>octubre</v>
      </c>
      <c r="J16" s="76">
        <f t="shared" si="3"/>
        <v>2025</v>
      </c>
    </row>
    <row r="17" ht="22.5" customHeight="1">
      <c r="A17" s="69">
        <v>45956.0</v>
      </c>
      <c r="B17" s="70" t="s">
        <v>81</v>
      </c>
      <c r="C17" s="70" t="s">
        <v>143</v>
      </c>
      <c r="D17" s="70" t="s">
        <v>168</v>
      </c>
      <c r="E17" s="84">
        <f t="array" ref="E17">XLOOKUP($D17,concepto_salarios,monto_salarios,0)</f>
        <v>75</v>
      </c>
      <c r="F17" s="72">
        <v>0.0</v>
      </c>
      <c r="G17" s="74">
        <v>0.0</v>
      </c>
      <c r="H17" s="84">
        <f t="shared" si="1"/>
        <v>75</v>
      </c>
      <c r="I17" s="76" t="str">
        <f t="shared" si="2"/>
        <v>octubre</v>
      </c>
      <c r="J17" s="76">
        <f t="shared" si="3"/>
        <v>2025</v>
      </c>
    </row>
    <row r="18" ht="22.5" customHeight="1">
      <c r="A18" s="69">
        <v>45956.0</v>
      </c>
      <c r="B18" s="70" t="s">
        <v>81</v>
      </c>
      <c r="C18" s="70" t="s">
        <v>143</v>
      </c>
      <c r="D18" s="70" t="s">
        <v>169</v>
      </c>
      <c r="E18" s="84">
        <f t="array" ref="E18">XLOOKUP($D18,concepto_salarios,monto_salarios,0)</f>
        <v>100</v>
      </c>
      <c r="F18" s="72">
        <v>0.0</v>
      </c>
      <c r="G18" s="74">
        <v>0.0</v>
      </c>
      <c r="H18" s="84">
        <f t="shared" si="1"/>
        <v>100</v>
      </c>
      <c r="I18" s="76" t="str">
        <f t="shared" si="2"/>
        <v>octubre</v>
      </c>
      <c r="J18" s="76">
        <f t="shared" si="3"/>
        <v>2025</v>
      </c>
    </row>
    <row r="19" ht="22.5" customHeight="1">
      <c r="A19" s="69">
        <v>45956.0</v>
      </c>
      <c r="B19" s="70" t="s">
        <v>81</v>
      </c>
      <c r="C19" s="70" t="s">
        <v>143</v>
      </c>
      <c r="D19" s="70" t="s">
        <v>170</v>
      </c>
      <c r="E19" s="84">
        <f t="array" ref="E19">XLOOKUP($D19,concepto_salarios,monto_salarios,0)</f>
        <v>150</v>
      </c>
      <c r="F19" s="72">
        <v>0.0</v>
      </c>
      <c r="G19" s="74">
        <v>0.0</v>
      </c>
      <c r="H19" s="84">
        <f t="shared" si="1"/>
        <v>150</v>
      </c>
      <c r="I19" s="76" t="str">
        <f t="shared" si="2"/>
        <v>octubre</v>
      </c>
      <c r="J19" s="76">
        <f t="shared" si="3"/>
        <v>2025</v>
      </c>
    </row>
    <row r="20" ht="22.5" customHeight="1">
      <c r="A20" s="69">
        <v>45956.0</v>
      </c>
      <c r="B20" s="70" t="s">
        <v>81</v>
      </c>
      <c r="C20" s="70" t="s">
        <v>140</v>
      </c>
      <c r="D20" s="70" t="s">
        <v>146</v>
      </c>
      <c r="E20" s="84">
        <f t="array" ref="E20">XLOOKUP($D20,concepto_salarios,monto_salarios,0)</f>
        <v>450</v>
      </c>
      <c r="F20" s="72">
        <v>0.0</v>
      </c>
      <c r="G20" s="74">
        <v>0.0</v>
      </c>
      <c r="H20" s="84">
        <f t="shared" si="1"/>
        <v>450</v>
      </c>
      <c r="I20" s="76" t="str">
        <f t="shared" si="2"/>
        <v>octubre</v>
      </c>
      <c r="J20" s="76">
        <f t="shared" si="3"/>
        <v>2025</v>
      </c>
    </row>
    <row r="21" ht="22.5" customHeight="1">
      <c r="A21" s="69">
        <v>45956.0</v>
      </c>
      <c r="B21" s="70" t="s">
        <v>81</v>
      </c>
      <c r="C21" s="70" t="s">
        <v>163</v>
      </c>
      <c r="D21" s="70" t="s">
        <v>164</v>
      </c>
      <c r="E21" s="84">
        <f t="array" ref="E21">XLOOKUP($D21,concepto_salarios,monto_salarios,0)</f>
        <v>100</v>
      </c>
      <c r="F21" s="72">
        <v>0.0</v>
      </c>
      <c r="G21" s="74">
        <v>0.0</v>
      </c>
      <c r="H21" s="84">
        <f t="shared" si="1"/>
        <v>100</v>
      </c>
      <c r="I21" s="76" t="str">
        <f t="shared" si="2"/>
        <v>octubre</v>
      </c>
      <c r="J21" s="76">
        <f t="shared" si="3"/>
        <v>2025</v>
      </c>
    </row>
    <row r="22" ht="22.5" customHeight="1">
      <c r="A22" s="69">
        <v>45956.0</v>
      </c>
      <c r="B22" s="70" t="s">
        <v>56</v>
      </c>
      <c r="C22" s="70" t="s">
        <v>163</v>
      </c>
      <c r="D22" s="70" t="s">
        <v>164</v>
      </c>
      <c r="E22" s="84">
        <f t="array" ref="E22">XLOOKUP($D22,concepto_salarios,monto_salarios,0)</f>
        <v>100</v>
      </c>
      <c r="F22" s="72">
        <v>0.0</v>
      </c>
      <c r="G22" s="74">
        <v>0.0</v>
      </c>
      <c r="H22" s="84">
        <f t="shared" si="1"/>
        <v>100</v>
      </c>
      <c r="I22" s="76" t="str">
        <f t="shared" si="2"/>
        <v>octubre</v>
      </c>
      <c r="J22" s="76">
        <f t="shared" si="3"/>
        <v>2025</v>
      </c>
    </row>
    <row r="23" ht="22.5" customHeight="1">
      <c r="A23" s="69">
        <v>45957.0</v>
      </c>
      <c r="B23" s="70" t="s">
        <v>51</v>
      </c>
      <c r="C23" s="70" t="s">
        <v>143</v>
      </c>
      <c r="D23" s="70" t="s">
        <v>171</v>
      </c>
      <c r="E23" s="84">
        <f t="array" ref="E23">XLOOKUP($D23,concepto_salarios,monto_salarios,0)</f>
        <v>100</v>
      </c>
      <c r="F23" s="72">
        <v>0.0</v>
      </c>
      <c r="G23" s="74">
        <v>0.0</v>
      </c>
      <c r="H23" s="84">
        <f t="shared" si="1"/>
        <v>100</v>
      </c>
      <c r="I23" s="76" t="str">
        <f t="shared" si="2"/>
        <v>octubre</v>
      </c>
      <c r="J23" s="76">
        <f t="shared" si="3"/>
        <v>2025</v>
      </c>
    </row>
    <row r="24" ht="22.5" customHeight="1">
      <c r="A24" s="69">
        <v>45957.0</v>
      </c>
      <c r="B24" s="70" t="s">
        <v>56</v>
      </c>
      <c r="C24" s="70" t="s">
        <v>143</v>
      </c>
      <c r="D24" s="70" t="s">
        <v>171</v>
      </c>
      <c r="E24" s="84">
        <f t="array" ref="E24">XLOOKUP($D24,concepto_salarios,monto_salarios,0)</f>
        <v>100</v>
      </c>
      <c r="F24" s="72">
        <v>0.0</v>
      </c>
      <c r="G24" s="74">
        <v>0.0</v>
      </c>
      <c r="H24" s="84">
        <f t="shared" si="1"/>
        <v>100</v>
      </c>
      <c r="I24" s="76" t="str">
        <f t="shared" si="2"/>
        <v>octubre</v>
      </c>
      <c r="J24" s="76">
        <f t="shared" si="3"/>
        <v>2025</v>
      </c>
    </row>
    <row r="25" ht="22.5" customHeight="1">
      <c r="A25" s="69">
        <v>45961.0</v>
      </c>
      <c r="B25" s="70" t="s">
        <v>46</v>
      </c>
      <c r="C25" s="70" t="s">
        <v>142</v>
      </c>
      <c r="D25" s="70" t="s">
        <v>173</v>
      </c>
      <c r="E25" s="84">
        <f t="array" ref="E25">XLOOKUP($D25,concepto_salarios,monto_salarios,0)</f>
        <v>834</v>
      </c>
      <c r="F25" s="72">
        <v>0.0</v>
      </c>
      <c r="G25" s="74">
        <v>14.0</v>
      </c>
      <c r="H25" s="84">
        <f t="shared" si="1"/>
        <v>848</v>
      </c>
      <c r="I25" s="76" t="str">
        <f t="shared" si="2"/>
        <v>octubre</v>
      </c>
      <c r="J25" s="76">
        <f t="shared" si="3"/>
        <v>2025</v>
      </c>
    </row>
    <row r="26" ht="22.5" customHeight="1">
      <c r="A26" s="69">
        <v>45961.0</v>
      </c>
      <c r="B26" s="70" t="s">
        <v>51</v>
      </c>
      <c r="C26" s="70" t="s">
        <v>142</v>
      </c>
      <c r="D26" s="70" t="s">
        <v>174</v>
      </c>
      <c r="E26" s="84">
        <f t="array" ref="E26">XLOOKUP($D26,concepto_salarios,monto_salarios,0)</f>
        <v>810</v>
      </c>
      <c r="F26" s="72">
        <v>0.0</v>
      </c>
      <c r="G26" s="74">
        <v>0.0</v>
      </c>
      <c r="H26" s="84">
        <f t="shared" si="1"/>
        <v>810</v>
      </c>
      <c r="I26" s="76" t="str">
        <f t="shared" si="2"/>
        <v>octubre</v>
      </c>
      <c r="J26" s="76">
        <f t="shared" si="3"/>
        <v>2025</v>
      </c>
    </row>
    <row r="27" ht="22.5" customHeight="1">
      <c r="A27" s="69">
        <v>45961.0</v>
      </c>
      <c r="B27" s="70" t="s">
        <v>41</v>
      </c>
      <c r="C27" s="70" t="s">
        <v>140</v>
      </c>
      <c r="D27" s="70" t="s">
        <v>141</v>
      </c>
      <c r="E27" s="84">
        <f t="array" ref="E27">XLOOKUP($D27,concepto_salarios,monto_salarios,0)</f>
        <v>250</v>
      </c>
      <c r="F27" s="72">
        <v>0.0</v>
      </c>
      <c r="G27" s="74">
        <v>0.0</v>
      </c>
      <c r="H27" s="84">
        <f t="shared" si="1"/>
        <v>250</v>
      </c>
      <c r="I27" s="76" t="str">
        <f t="shared" si="2"/>
        <v>octubre</v>
      </c>
      <c r="J27" s="76">
        <f t="shared" si="3"/>
        <v>2025</v>
      </c>
    </row>
    <row r="28" ht="22.5" customHeight="1">
      <c r="A28" s="69">
        <v>45961.0</v>
      </c>
      <c r="B28" s="70" t="s">
        <v>73</v>
      </c>
      <c r="C28" s="70" t="s">
        <v>140</v>
      </c>
      <c r="D28" s="70" t="s">
        <v>141</v>
      </c>
      <c r="E28" s="84">
        <f t="array" ref="E28">XLOOKUP($D28,concepto_salarios,monto_salarios,0)</f>
        <v>250</v>
      </c>
      <c r="F28" s="72">
        <v>0.0</v>
      </c>
      <c r="G28" s="74">
        <v>0.0</v>
      </c>
      <c r="H28" s="84">
        <f t="shared" si="1"/>
        <v>250</v>
      </c>
      <c r="I28" s="76" t="str">
        <f t="shared" si="2"/>
        <v>octubre</v>
      </c>
      <c r="J28" s="76">
        <f t="shared" si="3"/>
        <v>2025</v>
      </c>
    </row>
    <row r="29" ht="22.5" customHeight="1">
      <c r="A29" s="69">
        <v>45961.0</v>
      </c>
      <c r="B29" s="70" t="s">
        <v>66</v>
      </c>
      <c r="C29" s="70" t="s">
        <v>142</v>
      </c>
      <c r="D29" s="70" t="s">
        <v>175</v>
      </c>
      <c r="E29" s="84">
        <f t="array" ref="E29">XLOOKUP($D29,concepto_salarios,monto_salarios,0)</f>
        <v>690</v>
      </c>
      <c r="F29" s="72">
        <v>100.0</v>
      </c>
      <c r="G29" s="74">
        <v>0.0</v>
      </c>
      <c r="H29" s="84">
        <f t="shared" si="1"/>
        <v>590</v>
      </c>
      <c r="I29" s="76" t="str">
        <f t="shared" si="2"/>
        <v>octubre</v>
      </c>
      <c r="J29" s="76">
        <f t="shared" si="3"/>
        <v>2025</v>
      </c>
    </row>
    <row r="30" ht="22.5" customHeight="1">
      <c r="A30" s="69">
        <v>45961.0</v>
      </c>
      <c r="B30" s="70" t="s">
        <v>56</v>
      </c>
      <c r="C30" s="70" t="s">
        <v>142</v>
      </c>
      <c r="D30" s="70" t="s">
        <v>173</v>
      </c>
      <c r="E30" s="84">
        <f t="array" ref="E30">XLOOKUP($D30,concepto_salarios,monto_salarios,0)</f>
        <v>834</v>
      </c>
      <c r="F30" s="72">
        <v>0.0</v>
      </c>
      <c r="G30" s="74">
        <v>14.0</v>
      </c>
      <c r="H30" s="84">
        <f t="shared" si="1"/>
        <v>848</v>
      </c>
      <c r="I30" s="76" t="str">
        <f t="shared" si="2"/>
        <v>octubre</v>
      </c>
      <c r="J30" s="76">
        <f t="shared" si="3"/>
        <v>2025</v>
      </c>
    </row>
    <row r="31" ht="22.5" customHeight="1">
      <c r="A31" s="69">
        <v>45962.0</v>
      </c>
      <c r="B31" s="70" t="s">
        <v>46</v>
      </c>
      <c r="C31" s="70" t="s">
        <v>143</v>
      </c>
      <c r="D31" s="70" t="s">
        <v>176</v>
      </c>
      <c r="E31" s="84">
        <f t="array" ref="E31">XLOOKUP($D31,concepto_salarios,monto_salarios,0)</f>
        <v>200</v>
      </c>
      <c r="F31" s="72">
        <v>0.0</v>
      </c>
      <c r="G31" s="74">
        <v>0.0</v>
      </c>
      <c r="H31" s="84">
        <f t="shared" si="1"/>
        <v>200</v>
      </c>
      <c r="I31" s="76" t="str">
        <f t="shared" si="2"/>
        <v>noviembre</v>
      </c>
      <c r="J31" s="76">
        <f t="shared" si="3"/>
        <v>2025</v>
      </c>
    </row>
    <row r="32" ht="22.5" customHeight="1">
      <c r="A32" s="69">
        <v>45962.0</v>
      </c>
      <c r="B32" s="70" t="s">
        <v>51</v>
      </c>
      <c r="C32" s="70" t="s">
        <v>143</v>
      </c>
      <c r="D32" s="70" t="s">
        <v>177</v>
      </c>
      <c r="E32" s="84">
        <f t="array" ref="E32">XLOOKUP($D32,concepto_salarios,monto_salarios,0)</f>
        <v>200</v>
      </c>
      <c r="F32" s="72">
        <v>0.0</v>
      </c>
      <c r="G32" s="74">
        <v>0.0</v>
      </c>
      <c r="H32" s="84">
        <f t="shared" si="1"/>
        <v>200</v>
      </c>
      <c r="I32" s="76" t="str">
        <f t="shared" si="2"/>
        <v>noviembre</v>
      </c>
      <c r="J32" s="76">
        <f t="shared" si="3"/>
        <v>2025</v>
      </c>
    </row>
    <row r="33" ht="22.5" customHeight="1">
      <c r="A33" s="69">
        <v>45962.0</v>
      </c>
      <c r="B33" s="70" t="s">
        <v>51</v>
      </c>
      <c r="C33" s="70" t="s">
        <v>143</v>
      </c>
      <c r="D33" s="70" t="s">
        <v>178</v>
      </c>
      <c r="E33" s="84">
        <f t="array" ref="E33">XLOOKUP($D33,concepto_salarios,monto_salarios,0)</f>
        <v>60</v>
      </c>
      <c r="F33" s="72">
        <v>0.0</v>
      </c>
      <c r="G33" s="74">
        <v>0.0</v>
      </c>
      <c r="H33" s="84">
        <f t="shared" si="1"/>
        <v>60</v>
      </c>
      <c r="I33" s="76" t="str">
        <f t="shared" si="2"/>
        <v>noviembre</v>
      </c>
      <c r="J33" s="76">
        <f t="shared" si="3"/>
        <v>2025</v>
      </c>
    </row>
    <row r="34" ht="22.5" customHeight="1">
      <c r="A34" s="69">
        <v>45962.0</v>
      </c>
      <c r="B34" s="70" t="s">
        <v>73</v>
      </c>
      <c r="C34" s="70" t="s">
        <v>143</v>
      </c>
      <c r="D34" s="70" t="s">
        <v>179</v>
      </c>
      <c r="E34" s="84">
        <f t="array" ref="E34">XLOOKUP($D34,concepto_salarios,monto_salarios,0)</f>
        <v>50</v>
      </c>
      <c r="F34" s="72">
        <v>0.0</v>
      </c>
      <c r="G34" s="74">
        <v>0.0</v>
      </c>
      <c r="H34" s="84">
        <f t="shared" si="1"/>
        <v>50</v>
      </c>
      <c r="I34" s="76" t="str">
        <f t="shared" si="2"/>
        <v>noviembre</v>
      </c>
      <c r="J34" s="76">
        <f t="shared" si="3"/>
        <v>2025</v>
      </c>
    </row>
    <row r="35" ht="22.5" customHeight="1">
      <c r="A35" s="69">
        <v>45962.0</v>
      </c>
      <c r="B35" s="70" t="s">
        <v>73</v>
      </c>
      <c r="C35" s="70" t="s">
        <v>143</v>
      </c>
      <c r="D35" s="70" t="s">
        <v>178</v>
      </c>
      <c r="E35" s="84">
        <f t="array" ref="E35">XLOOKUP($D35,concepto_salarios,monto_salarios,0)</f>
        <v>60</v>
      </c>
      <c r="F35" s="72">
        <v>0.0</v>
      </c>
      <c r="G35" s="74">
        <v>0.0</v>
      </c>
      <c r="H35" s="84">
        <f t="shared" si="1"/>
        <v>60</v>
      </c>
      <c r="I35" s="76" t="str">
        <f t="shared" si="2"/>
        <v>noviembre</v>
      </c>
      <c r="J35" s="76">
        <f t="shared" si="3"/>
        <v>2025</v>
      </c>
    </row>
    <row r="36" ht="22.5" customHeight="1">
      <c r="A36" s="69">
        <v>45962.0</v>
      </c>
      <c r="B36" s="70" t="s">
        <v>73</v>
      </c>
      <c r="C36" s="70" t="s">
        <v>143</v>
      </c>
      <c r="D36" s="70" t="s">
        <v>180</v>
      </c>
      <c r="E36" s="84">
        <f t="array" ref="E36">XLOOKUP($D36,concepto_salarios,monto_salarios,0)</f>
        <v>50</v>
      </c>
      <c r="F36" s="72">
        <v>0.0</v>
      </c>
      <c r="G36" s="74">
        <v>0.0</v>
      </c>
      <c r="H36" s="84">
        <f t="shared" si="1"/>
        <v>50</v>
      </c>
      <c r="I36" s="76" t="str">
        <f t="shared" si="2"/>
        <v>noviembre</v>
      </c>
      <c r="J36" s="76">
        <f t="shared" si="3"/>
        <v>2025</v>
      </c>
    </row>
    <row r="37" ht="22.5" customHeight="1">
      <c r="A37" s="69">
        <v>45962.0</v>
      </c>
      <c r="B37" s="70" t="s">
        <v>73</v>
      </c>
      <c r="C37" s="70" t="s">
        <v>140</v>
      </c>
      <c r="D37" s="70" t="s">
        <v>141</v>
      </c>
      <c r="E37" s="84">
        <f t="array" ref="E37">XLOOKUP($D37,concepto_salarios,monto_salarios,0)</f>
        <v>250</v>
      </c>
      <c r="F37" s="72">
        <v>50.0</v>
      </c>
      <c r="G37" s="74">
        <v>0.0</v>
      </c>
      <c r="H37" s="84">
        <f t="shared" si="1"/>
        <v>200</v>
      </c>
      <c r="I37" s="76" t="str">
        <f t="shared" si="2"/>
        <v>noviembre</v>
      </c>
      <c r="J37" s="76">
        <f t="shared" si="3"/>
        <v>2025</v>
      </c>
    </row>
    <row r="38" ht="22.5" customHeight="1">
      <c r="A38" s="69">
        <v>45962.0</v>
      </c>
      <c r="B38" s="70" t="s">
        <v>73</v>
      </c>
      <c r="C38" s="70" t="s">
        <v>163</v>
      </c>
      <c r="D38" s="70" t="s">
        <v>164</v>
      </c>
      <c r="E38" s="84">
        <f t="array" ref="E38">XLOOKUP($D38,concepto_salarios,monto_salarios,0)</f>
        <v>100</v>
      </c>
      <c r="F38" s="72">
        <v>0.0</v>
      </c>
      <c r="G38" s="74">
        <v>0.0</v>
      </c>
      <c r="H38" s="84">
        <f t="shared" si="1"/>
        <v>100</v>
      </c>
      <c r="I38" s="76" t="str">
        <f t="shared" si="2"/>
        <v>noviembre</v>
      </c>
      <c r="J38" s="76">
        <f t="shared" si="3"/>
        <v>2025</v>
      </c>
    </row>
    <row r="39" ht="22.5" customHeight="1">
      <c r="A39" s="69">
        <v>45962.0</v>
      </c>
      <c r="B39" s="70" t="s">
        <v>70</v>
      </c>
      <c r="C39" s="70" t="s">
        <v>143</v>
      </c>
      <c r="D39" s="70" t="s">
        <v>179</v>
      </c>
      <c r="E39" s="84">
        <f t="array" ref="E39">XLOOKUP($D39,concepto_salarios,monto_salarios,0)</f>
        <v>50</v>
      </c>
      <c r="F39" s="72">
        <v>0.0</v>
      </c>
      <c r="G39" s="74">
        <v>0.0</v>
      </c>
      <c r="H39" s="84">
        <f t="shared" si="1"/>
        <v>50</v>
      </c>
      <c r="I39" s="76" t="str">
        <f t="shared" si="2"/>
        <v>noviembre</v>
      </c>
      <c r="J39" s="76">
        <f t="shared" si="3"/>
        <v>2025</v>
      </c>
    </row>
    <row r="40" ht="22.5" customHeight="1">
      <c r="A40" s="69">
        <v>45962.0</v>
      </c>
      <c r="B40" s="70" t="s">
        <v>70</v>
      </c>
      <c r="C40" s="70" t="s">
        <v>143</v>
      </c>
      <c r="D40" s="70" t="s">
        <v>178</v>
      </c>
      <c r="E40" s="84">
        <f t="array" ref="E40">XLOOKUP($D40,concepto_salarios,monto_salarios,0)</f>
        <v>60</v>
      </c>
      <c r="F40" s="72">
        <v>0.0</v>
      </c>
      <c r="G40" s="74">
        <v>0.0</v>
      </c>
      <c r="H40" s="84">
        <f t="shared" si="1"/>
        <v>60</v>
      </c>
      <c r="I40" s="76" t="str">
        <f t="shared" si="2"/>
        <v>noviembre</v>
      </c>
      <c r="J40" s="76">
        <f t="shared" si="3"/>
        <v>2025</v>
      </c>
    </row>
    <row r="41" ht="22.5" customHeight="1">
      <c r="A41" s="69">
        <v>45962.0</v>
      </c>
      <c r="B41" s="70" t="s">
        <v>70</v>
      </c>
      <c r="C41" s="70" t="s">
        <v>143</v>
      </c>
      <c r="D41" s="70" t="s">
        <v>180</v>
      </c>
      <c r="E41" s="84">
        <f t="array" ref="E41">XLOOKUP($D41,concepto_salarios,monto_salarios,0)</f>
        <v>50</v>
      </c>
      <c r="F41" s="72">
        <v>0.0</v>
      </c>
      <c r="G41" s="74">
        <v>0.0</v>
      </c>
      <c r="H41" s="84">
        <f t="shared" si="1"/>
        <v>50</v>
      </c>
      <c r="I41" s="76" t="str">
        <f t="shared" si="2"/>
        <v>noviembre</v>
      </c>
      <c r="J41" s="76">
        <f t="shared" si="3"/>
        <v>2025</v>
      </c>
    </row>
    <row r="42" ht="22.5" customHeight="1">
      <c r="A42" s="69">
        <v>45962.0</v>
      </c>
      <c r="B42" s="70" t="s">
        <v>70</v>
      </c>
      <c r="C42" s="70" t="s">
        <v>140</v>
      </c>
      <c r="D42" s="70" t="s">
        <v>141</v>
      </c>
      <c r="E42" s="84">
        <f t="array" ref="E42">XLOOKUP($D42,concepto_salarios,monto_salarios,0)</f>
        <v>250</v>
      </c>
      <c r="F42" s="72">
        <v>50.0</v>
      </c>
      <c r="G42" s="74">
        <v>0.0</v>
      </c>
      <c r="H42" s="84">
        <f t="shared" si="1"/>
        <v>200</v>
      </c>
      <c r="I42" s="76" t="str">
        <f t="shared" si="2"/>
        <v>noviembre</v>
      </c>
      <c r="J42" s="76">
        <f t="shared" si="3"/>
        <v>2025</v>
      </c>
    </row>
    <row r="43" ht="22.5" customHeight="1">
      <c r="A43" s="69">
        <v>45962.0</v>
      </c>
      <c r="B43" s="70" t="s">
        <v>70</v>
      </c>
      <c r="C43" s="70" t="s">
        <v>163</v>
      </c>
      <c r="D43" s="70" t="s">
        <v>164</v>
      </c>
      <c r="E43" s="84">
        <f t="array" ref="E43">XLOOKUP($D43,concepto_salarios,monto_salarios,0)</f>
        <v>100</v>
      </c>
      <c r="F43" s="72">
        <v>0.0</v>
      </c>
      <c r="G43" s="74">
        <v>100.0</v>
      </c>
      <c r="H43" s="84">
        <f t="shared" si="1"/>
        <v>200</v>
      </c>
      <c r="I43" s="76" t="str">
        <f t="shared" si="2"/>
        <v>noviembre</v>
      </c>
      <c r="J43" s="76">
        <f t="shared" si="3"/>
        <v>2025</v>
      </c>
    </row>
    <row r="44" ht="22.5" customHeight="1">
      <c r="A44" s="69">
        <v>45962.0</v>
      </c>
      <c r="B44" s="70" t="s">
        <v>56</v>
      </c>
      <c r="C44" s="70" t="s">
        <v>143</v>
      </c>
      <c r="D44" s="70" t="s">
        <v>178</v>
      </c>
      <c r="E44" s="84">
        <f t="array" ref="E44">XLOOKUP($D44,concepto_salarios,monto_salarios,0)</f>
        <v>60</v>
      </c>
      <c r="F44" s="72">
        <v>0.0</v>
      </c>
      <c r="G44" s="74">
        <v>0.0</v>
      </c>
      <c r="H44" s="84">
        <f t="shared" si="1"/>
        <v>60</v>
      </c>
      <c r="I44" s="76" t="str">
        <f t="shared" si="2"/>
        <v>noviembre</v>
      </c>
      <c r="J44" s="76">
        <f t="shared" si="3"/>
        <v>2025</v>
      </c>
    </row>
    <row r="45" ht="22.5" customHeight="1">
      <c r="A45" s="69">
        <v>45969.0</v>
      </c>
      <c r="B45" s="70" t="s">
        <v>76</v>
      </c>
      <c r="C45" s="70" t="s">
        <v>143</v>
      </c>
      <c r="D45" s="70" t="s">
        <v>181</v>
      </c>
      <c r="E45" s="84">
        <f t="array" ref="E45">XLOOKUP($D45,concepto_salarios,monto_salarios,0)</f>
        <v>75</v>
      </c>
      <c r="F45" s="72">
        <v>0.0</v>
      </c>
      <c r="G45" s="74">
        <v>0.0</v>
      </c>
      <c r="H45" s="84">
        <f t="shared" si="1"/>
        <v>75</v>
      </c>
      <c r="I45" s="76" t="str">
        <f t="shared" si="2"/>
        <v>noviembre</v>
      </c>
      <c r="J45" s="76">
        <f t="shared" si="3"/>
        <v>2025</v>
      </c>
    </row>
    <row r="46" ht="22.5" customHeight="1">
      <c r="A46" s="69">
        <v>45969.0</v>
      </c>
      <c r="B46" s="70" t="s">
        <v>76</v>
      </c>
      <c r="C46" s="70" t="s">
        <v>143</v>
      </c>
      <c r="D46" s="70" t="s">
        <v>182</v>
      </c>
      <c r="E46" s="84">
        <f t="array" ref="E46">XLOOKUP($D46,concepto_salarios,monto_salarios,0)</f>
        <v>45</v>
      </c>
      <c r="F46" s="72">
        <v>0.0</v>
      </c>
      <c r="G46" s="74">
        <v>0.0</v>
      </c>
      <c r="H46" s="84">
        <f t="shared" si="1"/>
        <v>45</v>
      </c>
      <c r="I46" s="76" t="str">
        <f t="shared" si="2"/>
        <v>noviembre</v>
      </c>
      <c r="J46" s="76">
        <f t="shared" si="3"/>
        <v>2025</v>
      </c>
    </row>
    <row r="47" ht="22.5" customHeight="1">
      <c r="A47" s="69">
        <v>45969.0</v>
      </c>
      <c r="B47" s="70" t="s">
        <v>76</v>
      </c>
      <c r="C47" s="70" t="s">
        <v>143</v>
      </c>
      <c r="D47" s="70" t="s">
        <v>183</v>
      </c>
      <c r="E47" s="84">
        <f t="array" ref="E47">XLOOKUP($D47,concepto_salarios,monto_salarios,0)</f>
        <v>50</v>
      </c>
      <c r="F47" s="72">
        <v>0.0</v>
      </c>
      <c r="G47" s="74">
        <v>0.0</v>
      </c>
      <c r="H47" s="84">
        <f t="shared" si="1"/>
        <v>50</v>
      </c>
      <c r="I47" s="76" t="str">
        <f t="shared" si="2"/>
        <v>noviembre</v>
      </c>
      <c r="J47" s="76">
        <f t="shared" si="3"/>
        <v>2025</v>
      </c>
    </row>
    <row r="48" ht="22.5" customHeight="1">
      <c r="A48" s="69">
        <v>45969.0</v>
      </c>
      <c r="B48" s="70" t="s">
        <v>76</v>
      </c>
      <c r="C48" s="70" t="s">
        <v>143</v>
      </c>
      <c r="D48" s="70" t="s">
        <v>184</v>
      </c>
      <c r="E48" s="84">
        <f t="array" ref="E48">XLOOKUP($D48,concepto_salarios,monto_salarios,0)</f>
        <v>120</v>
      </c>
      <c r="F48" s="72">
        <v>0.0</v>
      </c>
      <c r="G48" s="74">
        <v>0.0</v>
      </c>
      <c r="H48" s="84">
        <f t="shared" si="1"/>
        <v>120</v>
      </c>
      <c r="I48" s="76" t="str">
        <f t="shared" si="2"/>
        <v>noviembre</v>
      </c>
      <c r="J48" s="76">
        <f t="shared" si="3"/>
        <v>2025</v>
      </c>
    </row>
    <row r="49" ht="22.5" customHeight="1">
      <c r="A49" s="69">
        <v>45969.0</v>
      </c>
      <c r="B49" s="70" t="s">
        <v>76</v>
      </c>
      <c r="C49" s="70" t="s">
        <v>140</v>
      </c>
      <c r="D49" s="70" t="s">
        <v>145</v>
      </c>
      <c r="E49" s="84">
        <f t="array" ref="E49">XLOOKUP($D49,concepto_salarios,monto_salarios,0)</f>
        <v>350</v>
      </c>
      <c r="F49" s="72">
        <v>0.0</v>
      </c>
      <c r="G49" s="74">
        <v>0.0</v>
      </c>
      <c r="H49" s="84">
        <f t="shared" si="1"/>
        <v>350</v>
      </c>
      <c r="I49" s="76" t="str">
        <f t="shared" si="2"/>
        <v>noviembre</v>
      </c>
      <c r="J49" s="76">
        <f t="shared" si="3"/>
        <v>2025</v>
      </c>
    </row>
    <row r="50" ht="22.5" customHeight="1">
      <c r="A50" s="69">
        <v>45969.0</v>
      </c>
      <c r="B50" s="70" t="s">
        <v>46</v>
      </c>
      <c r="C50" s="70" t="s">
        <v>142</v>
      </c>
      <c r="D50" s="70" t="s">
        <v>185</v>
      </c>
      <c r="E50" s="84">
        <f t="array" ref="E50">XLOOKUP($D50,concepto_salarios,monto_salarios,0)</f>
        <v>1080</v>
      </c>
      <c r="F50" s="72">
        <v>0.0</v>
      </c>
      <c r="G50" s="74">
        <v>0.0</v>
      </c>
      <c r="H50" s="84">
        <f t="shared" si="1"/>
        <v>1080</v>
      </c>
      <c r="I50" s="76" t="str">
        <f t="shared" si="2"/>
        <v>noviembre</v>
      </c>
      <c r="J50" s="76">
        <f t="shared" si="3"/>
        <v>2025</v>
      </c>
    </row>
    <row r="51" ht="22.5" customHeight="1">
      <c r="A51" s="69">
        <v>45969.0</v>
      </c>
      <c r="B51" s="70" t="s">
        <v>61</v>
      </c>
      <c r="C51" s="70" t="s">
        <v>140</v>
      </c>
      <c r="D51" s="70" t="s">
        <v>145</v>
      </c>
      <c r="E51" s="84">
        <f t="array" ref="E51">XLOOKUP($D51,concepto_salarios,monto_salarios,0)</f>
        <v>350</v>
      </c>
      <c r="F51" s="72">
        <v>0.0</v>
      </c>
      <c r="G51" s="74">
        <v>0.0</v>
      </c>
      <c r="H51" s="84">
        <f t="shared" si="1"/>
        <v>350</v>
      </c>
      <c r="I51" s="76" t="str">
        <f t="shared" si="2"/>
        <v>noviembre</v>
      </c>
      <c r="J51" s="76">
        <f t="shared" si="3"/>
        <v>2025</v>
      </c>
    </row>
    <row r="52" ht="22.5" customHeight="1">
      <c r="A52" s="69">
        <v>45969.0</v>
      </c>
      <c r="B52" s="70" t="s">
        <v>61</v>
      </c>
      <c r="C52" s="70" t="s">
        <v>163</v>
      </c>
      <c r="D52" s="70" t="s">
        <v>164</v>
      </c>
      <c r="E52" s="84">
        <f t="array" ref="E52">XLOOKUP($D52,concepto_salarios,monto_salarios,0)</f>
        <v>100</v>
      </c>
      <c r="F52" s="72">
        <v>100.0</v>
      </c>
      <c r="G52" s="74">
        <v>0.0</v>
      </c>
      <c r="H52" s="84">
        <f t="shared" si="1"/>
        <v>0</v>
      </c>
      <c r="I52" s="76" t="str">
        <f t="shared" si="2"/>
        <v>noviembre</v>
      </c>
      <c r="J52" s="76">
        <f t="shared" si="3"/>
        <v>2025</v>
      </c>
    </row>
    <row r="53" ht="22.5" customHeight="1">
      <c r="A53" s="69">
        <v>45969.0</v>
      </c>
      <c r="B53" s="70" t="s">
        <v>41</v>
      </c>
      <c r="C53" s="70" t="s">
        <v>148</v>
      </c>
      <c r="D53" s="70" t="s">
        <v>186</v>
      </c>
      <c r="E53" s="84">
        <f t="array" ref="E53">XLOOKUP($D53,concepto_salarios,monto_salarios,0)</f>
        <v>375</v>
      </c>
      <c r="F53" s="72">
        <v>0.0</v>
      </c>
      <c r="G53" s="74">
        <v>0.0</v>
      </c>
      <c r="H53" s="84">
        <f t="shared" si="1"/>
        <v>375</v>
      </c>
      <c r="I53" s="76" t="str">
        <f t="shared" si="2"/>
        <v>noviembre</v>
      </c>
      <c r="J53" s="76">
        <f t="shared" si="3"/>
        <v>2025</v>
      </c>
    </row>
    <row r="54" ht="22.5" customHeight="1">
      <c r="A54" s="69">
        <v>45969.0</v>
      </c>
      <c r="B54" s="70" t="s">
        <v>41</v>
      </c>
      <c r="C54" s="70" t="s">
        <v>142</v>
      </c>
      <c r="D54" s="70" t="s">
        <v>187</v>
      </c>
      <c r="E54" s="84">
        <f t="array" ref="E54">XLOOKUP($D54,concepto_salarios,monto_salarios,0)</f>
        <v>720</v>
      </c>
      <c r="F54" s="72">
        <v>220.0</v>
      </c>
      <c r="G54" s="74">
        <v>0.0</v>
      </c>
      <c r="H54" s="84">
        <f t="shared" si="1"/>
        <v>500</v>
      </c>
      <c r="I54" s="76" t="str">
        <f t="shared" si="2"/>
        <v>noviembre</v>
      </c>
      <c r="J54" s="76">
        <f t="shared" si="3"/>
        <v>2025</v>
      </c>
    </row>
    <row r="55" ht="22.5" customHeight="1">
      <c r="A55" s="69">
        <v>45969.0</v>
      </c>
      <c r="B55" s="70" t="s">
        <v>73</v>
      </c>
      <c r="C55" s="70" t="s">
        <v>140</v>
      </c>
      <c r="D55" s="70" t="s">
        <v>145</v>
      </c>
      <c r="E55" s="84">
        <f t="array" ref="E55">XLOOKUP($D55,concepto_salarios,monto_salarios,0)</f>
        <v>350</v>
      </c>
      <c r="F55" s="72">
        <v>0.0</v>
      </c>
      <c r="G55" s="74">
        <v>0.0</v>
      </c>
      <c r="H55" s="84">
        <f t="shared" si="1"/>
        <v>350</v>
      </c>
      <c r="I55" s="76" t="str">
        <f t="shared" si="2"/>
        <v>noviembre</v>
      </c>
      <c r="J55" s="76">
        <f t="shared" si="3"/>
        <v>2025</v>
      </c>
    </row>
    <row r="56" ht="22.5" customHeight="1">
      <c r="A56" s="69">
        <v>45969.0</v>
      </c>
      <c r="B56" s="70" t="s">
        <v>73</v>
      </c>
      <c r="C56" s="70" t="s">
        <v>163</v>
      </c>
      <c r="D56" s="70" t="s">
        <v>164</v>
      </c>
      <c r="E56" s="84">
        <f t="array" ref="E56">XLOOKUP($D56,concepto_salarios,monto_salarios,0)</f>
        <v>100</v>
      </c>
      <c r="F56" s="72">
        <v>0.0</v>
      </c>
      <c r="G56" s="74">
        <v>0.0</v>
      </c>
      <c r="H56" s="84">
        <f t="shared" si="1"/>
        <v>100</v>
      </c>
      <c r="I56" s="76" t="str">
        <f t="shared" si="2"/>
        <v>noviembre</v>
      </c>
      <c r="J56" s="76">
        <f t="shared" si="3"/>
        <v>2025</v>
      </c>
    </row>
    <row r="57" ht="22.5" customHeight="1">
      <c r="A57" s="69">
        <v>45969.0</v>
      </c>
      <c r="B57" s="70" t="s">
        <v>70</v>
      </c>
      <c r="C57" s="70" t="s">
        <v>143</v>
      </c>
      <c r="D57" s="70" t="s">
        <v>170</v>
      </c>
      <c r="E57" s="84">
        <f t="array" ref="E57">XLOOKUP($D57,concepto_salarios,monto_salarios,0)</f>
        <v>150</v>
      </c>
      <c r="F57" s="72">
        <v>0.0</v>
      </c>
      <c r="G57" s="74">
        <v>0.0</v>
      </c>
      <c r="H57" s="84">
        <f t="shared" si="1"/>
        <v>150</v>
      </c>
      <c r="I57" s="76" t="str">
        <f t="shared" si="2"/>
        <v>noviembre</v>
      </c>
      <c r="J57" s="76">
        <f t="shared" si="3"/>
        <v>2025</v>
      </c>
    </row>
    <row r="58" ht="22.5" customHeight="1">
      <c r="A58" s="69">
        <v>45969.0</v>
      </c>
      <c r="B58" s="70" t="s">
        <v>70</v>
      </c>
      <c r="C58" s="70" t="s">
        <v>143</v>
      </c>
      <c r="D58" s="70" t="s">
        <v>188</v>
      </c>
      <c r="E58" s="84">
        <f t="array" ref="E58">XLOOKUP($D58,concepto_salarios,monto_salarios,0)</f>
        <v>90</v>
      </c>
      <c r="F58" s="72">
        <v>0.0</v>
      </c>
      <c r="G58" s="74">
        <v>0.0</v>
      </c>
      <c r="H58" s="84">
        <f t="shared" si="1"/>
        <v>90</v>
      </c>
      <c r="I58" s="76" t="str">
        <f t="shared" si="2"/>
        <v>noviembre</v>
      </c>
      <c r="J58" s="76">
        <f t="shared" si="3"/>
        <v>2025</v>
      </c>
    </row>
    <row r="59" ht="22.5" customHeight="1">
      <c r="A59" s="69">
        <v>45969.0</v>
      </c>
      <c r="B59" s="70" t="s">
        <v>70</v>
      </c>
      <c r="C59" s="70" t="s">
        <v>143</v>
      </c>
      <c r="D59" s="70" t="s">
        <v>189</v>
      </c>
      <c r="E59" s="84">
        <f t="array" ref="E59">XLOOKUP($D59,concepto_salarios,monto_salarios,0)</f>
        <v>100</v>
      </c>
      <c r="F59" s="72">
        <v>0.0</v>
      </c>
      <c r="G59" s="74">
        <v>0.0</v>
      </c>
      <c r="H59" s="84">
        <f t="shared" si="1"/>
        <v>100</v>
      </c>
      <c r="I59" s="76" t="str">
        <f t="shared" si="2"/>
        <v>noviembre</v>
      </c>
      <c r="J59" s="76">
        <f t="shared" si="3"/>
        <v>2025</v>
      </c>
    </row>
    <row r="60" ht="22.5" customHeight="1">
      <c r="A60" s="69">
        <v>45969.0</v>
      </c>
      <c r="B60" s="70" t="s">
        <v>70</v>
      </c>
      <c r="C60" s="70" t="s">
        <v>143</v>
      </c>
      <c r="D60" s="70" t="s">
        <v>184</v>
      </c>
      <c r="E60" s="84">
        <f t="array" ref="E60">XLOOKUP($D60,concepto_salarios,monto_salarios,0)</f>
        <v>120</v>
      </c>
      <c r="F60" s="72">
        <v>0.0</v>
      </c>
      <c r="G60" s="74">
        <v>0.0</v>
      </c>
      <c r="H60" s="84">
        <f t="shared" si="1"/>
        <v>120</v>
      </c>
      <c r="I60" s="76" t="str">
        <f t="shared" si="2"/>
        <v>noviembre</v>
      </c>
      <c r="J60" s="76">
        <f t="shared" si="3"/>
        <v>2025</v>
      </c>
    </row>
    <row r="61" ht="22.5" customHeight="1">
      <c r="A61" s="69">
        <v>45969.0</v>
      </c>
      <c r="B61" s="70" t="s">
        <v>70</v>
      </c>
      <c r="C61" s="70" t="s">
        <v>140</v>
      </c>
      <c r="D61" s="70" t="s">
        <v>145</v>
      </c>
      <c r="E61" s="84">
        <f t="array" ref="E61">XLOOKUP($D61,concepto_salarios,monto_salarios,0)</f>
        <v>350</v>
      </c>
      <c r="F61" s="72">
        <v>0.0</v>
      </c>
      <c r="G61" s="74">
        <v>0.0</v>
      </c>
      <c r="H61" s="84">
        <f t="shared" si="1"/>
        <v>350</v>
      </c>
      <c r="I61" s="76" t="str">
        <f t="shared" si="2"/>
        <v>noviembre</v>
      </c>
      <c r="J61" s="76">
        <f t="shared" si="3"/>
        <v>2025</v>
      </c>
    </row>
    <row r="62" ht="22.5" customHeight="1">
      <c r="A62" s="69">
        <v>45969.0</v>
      </c>
      <c r="B62" s="70" t="s">
        <v>70</v>
      </c>
      <c r="C62" s="70" t="s">
        <v>163</v>
      </c>
      <c r="D62" s="70" t="s">
        <v>164</v>
      </c>
      <c r="E62" s="84">
        <f t="array" ref="E62">XLOOKUP($D62,concepto_salarios,monto_salarios,0)</f>
        <v>100</v>
      </c>
      <c r="F62" s="72">
        <v>0.0</v>
      </c>
      <c r="G62" s="74">
        <v>0.0</v>
      </c>
      <c r="H62" s="84">
        <f t="shared" si="1"/>
        <v>100</v>
      </c>
      <c r="I62" s="76" t="str">
        <f t="shared" si="2"/>
        <v>noviembre</v>
      </c>
      <c r="J62" s="76">
        <f t="shared" si="3"/>
        <v>2025</v>
      </c>
    </row>
    <row r="63" ht="22.5" customHeight="1">
      <c r="A63" s="69">
        <v>45969.0</v>
      </c>
      <c r="B63" s="70" t="s">
        <v>66</v>
      </c>
      <c r="C63" s="70" t="s">
        <v>142</v>
      </c>
      <c r="D63" s="70" t="s">
        <v>190</v>
      </c>
      <c r="E63" s="84">
        <f t="array" ref="E63">XLOOKUP($D63,concepto_salarios,monto_salarios,0)</f>
        <v>870</v>
      </c>
      <c r="F63" s="72">
        <v>150.0</v>
      </c>
      <c r="G63" s="74">
        <v>0.0</v>
      </c>
      <c r="H63" s="84">
        <f t="shared" si="1"/>
        <v>720</v>
      </c>
      <c r="I63" s="76" t="str">
        <f t="shared" si="2"/>
        <v>noviembre</v>
      </c>
      <c r="J63" s="76">
        <f t="shared" si="3"/>
        <v>2025</v>
      </c>
    </row>
    <row r="64" ht="22.5" customHeight="1">
      <c r="A64" s="69">
        <v>45969.0</v>
      </c>
      <c r="B64" s="70" t="s">
        <v>56</v>
      </c>
      <c r="C64" s="70" t="s">
        <v>148</v>
      </c>
      <c r="D64" s="70" t="s">
        <v>186</v>
      </c>
      <c r="E64" s="84">
        <f t="array" ref="E64">XLOOKUP($D64,concepto_salarios,monto_salarios,0)</f>
        <v>375</v>
      </c>
      <c r="F64" s="72">
        <v>0.0</v>
      </c>
      <c r="G64" s="74">
        <v>0.0</v>
      </c>
      <c r="H64" s="84">
        <f t="shared" si="1"/>
        <v>375</v>
      </c>
      <c r="I64" s="76" t="str">
        <f t="shared" si="2"/>
        <v>noviembre</v>
      </c>
      <c r="J64" s="76">
        <f t="shared" si="3"/>
        <v>2025</v>
      </c>
    </row>
    <row r="65" ht="22.5" customHeight="1">
      <c r="A65" s="69">
        <v>45969.0</v>
      </c>
      <c r="B65" s="70" t="s">
        <v>56</v>
      </c>
      <c r="C65" s="70" t="s">
        <v>142</v>
      </c>
      <c r="D65" s="70" t="s">
        <v>185</v>
      </c>
      <c r="E65" s="84">
        <f t="array" ref="E65">XLOOKUP($D65,concepto_salarios,monto_salarios,0)</f>
        <v>1080</v>
      </c>
      <c r="F65" s="72">
        <v>0.0</v>
      </c>
      <c r="G65" s="74">
        <v>0.0</v>
      </c>
      <c r="H65" s="84">
        <f t="shared" si="1"/>
        <v>1080</v>
      </c>
      <c r="I65" s="76" t="str">
        <f t="shared" si="2"/>
        <v>noviembre</v>
      </c>
      <c r="J65" s="76">
        <f t="shared" si="3"/>
        <v>2025</v>
      </c>
    </row>
    <row r="66" ht="22.5" customHeight="1">
      <c r="A66" s="69">
        <v>45970.0</v>
      </c>
      <c r="B66" s="70" t="s">
        <v>46</v>
      </c>
      <c r="C66" s="70" t="s">
        <v>148</v>
      </c>
      <c r="D66" s="70" t="s">
        <v>186</v>
      </c>
      <c r="E66" s="84">
        <f t="array" ref="E66">XLOOKUP($D66,concepto_salarios,monto_salarios,0)</f>
        <v>375</v>
      </c>
      <c r="F66" s="72">
        <v>0.0</v>
      </c>
      <c r="G66" s="74">
        <v>0.0</v>
      </c>
      <c r="H66" s="84">
        <f t="shared" si="1"/>
        <v>375</v>
      </c>
      <c r="I66" s="76" t="str">
        <f t="shared" si="2"/>
        <v>noviembre</v>
      </c>
      <c r="J66" s="76">
        <f t="shared" si="3"/>
        <v>2025</v>
      </c>
    </row>
    <row r="67" ht="22.5" customHeight="1">
      <c r="A67" s="69">
        <v>45970.0</v>
      </c>
      <c r="B67" s="70" t="s">
        <v>73</v>
      </c>
      <c r="C67" s="70" t="s">
        <v>143</v>
      </c>
      <c r="D67" s="70" t="s">
        <v>169</v>
      </c>
      <c r="E67" s="84">
        <f t="array" ref="E67">XLOOKUP($D67,concepto_salarios,monto_salarios,0)</f>
        <v>100</v>
      </c>
      <c r="F67" s="72">
        <v>0.0</v>
      </c>
      <c r="G67" s="74">
        <v>0.0</v>
      </c>
      <c r="H67" s="84">
        <f t="shared" si="1"/>
        <v>100</v>
      </c>
      <c r="I67" s="76" t="str">
        <f t="shared" si="2"/>
        <v>noviembre</v>
      </c>
      <c r="J67" s="76">
        <f t="shared" si="3"/>
        <v>2025</v>
      </c>
    </row>
    <row r="68" ht="22.5" customHeight="1">
      <c r="A68" s="69">
        <v>45970.0</v>
      </c>
      <c r="B68" s="70" t="s">
        <v>73</v>
      </c>
      <c r="C68" s="70" t="s">
        <v>143</v>
      </c>
      <c r="D68" s="70" t="s">
        <v>166</v>
      </c>
      <c r="E68" s="84">
        <f t="array" ref="E68">XLOOKUP($D68,concepto_salarios,monto_salarios,0)</f>
        <v>90</v>
      </c>
      <c r="F68" s="72">
        <v>0.0</v>
      </c>
      <c r="G68" s="74">
        <v>0.0</v>
      </c>
      <c r="H68" s="84">
        <f t="shared" si="1"/>
        <v>90</v>
      </c>
      <c r="I68" s="76" t="str">
        <f t="shared" si="2"/>
        <v>noviembre</v>
      </c>
      <c r="J68" s="76">
        <f t="shared" si="3"/>
        <v>2025</v>
      </c>
    </row>
    <row r="69" ht="22.5" customHeight="1">
      <c r="A69" s="69">
        <v>45970.0</v>
      </c>
      <c r="B69" s="70" t="s">
        <v>73</v>
      </c>
      <c r="C69" s="70" t="s">
        <v>163</v>
      </c>
      <c r="D69" s="70" t="s">
        <v>191</v>
      </c>
      <c r="E69" s="72">
        <v>100.0</v>
      </c>
      <c r="F69" s="72">
        <v>0.0</v>
      </c>
      <c r="G69" s="74">
        <v>0.0</v>
      </c>
      <c r="H69" s="84">
        <f t="shared" si="1"/>
        <v>100</v>
      </c>
      <c r="I69" s="76" t="str">
        <f t="shared" si="2"/>
        <v>noviembre</v>
      </c>
      <c r="J69" s="76">
        <f t="shared" si="3"/>
        <v>2025</v>
      </c>
    </row>
    <row r="70" ht="22.5" customHeight="1">
      <c r="A70" s="69">
        <v>45970.0</v>
      </c>
      <c r="B70" s="70" t="s">
        <v>73</v>
      </c>
      <c r="C70" s="70" t="s">
        <v>143</v>
      </c>
      <c r="D70" s="70" t="s">
        <v>181</v>
      </c>
      <c r="E70" s="84">
        <f t="array" ref="E70">XLOOKUP($D70,concepto_salarios,monto_salarios,0)</f>
        <v>75</v>
      </c>
      <c r="F70" s="72">
        <v>0.0</v>
      </c>
      <c r="G70" s="74">
        <v>0.0</v>
      </c>
      <c r="H70" s="84">
        <f t="shared" si="1"/>
        <v>75</v>
      </c>
      <c r="I70" s="76" t="str">
        <f t="shared" si="2"/>
        <v>noviembre</v>
      </c>
      <c r="J70" s="76">
        <f t="shared" si="3"/>
        <v>2025</v>
      </c>
    </row>
    <row r="71" ht="22.5" customHeight="1">
      <c r="A71" s="69">
        <v>45970.0</v>
      </c>
      <c r="B71" s="70" t="s">
        <v>73</v>
      </c>
      <c r="C71" s="70" t="s">
        <v>143</v>
      </c>
      <c r="D71" s="70" t="s">
        <v>192</v>
      </c>
      <c r="E71" s="84">
        <f t="array" ref="E71">XLOOKUP($D71,concepto_salarios,monto_salarios,0)</f>
        <v>50</v>
      </c>
      <c r="F71" s="72">
        <v>0.0</v>
      </c>
      <c r="G71" s="74">
        <v>0.0</v>
      </c>
      <c r="H71" s="84">
        <f t="shared" si="1"/>
        <v>50</v>
      </c>
      <c r="I71" s="76" t="str">
        <f t="shared" si="2"/>
        <v>noviembre</v>
      </c>
      <c r="J71" s="76">
        <f t="shared" si="3"/>
        <v>2025</v>
      </c>
    </row>
    <row r="72" ht="22.5" customHeight="1">
      <c r="A72" s="69">
        <v>45970.0</v>
      </c>
      <c r="B72" s="70" t="s">
        <v>73</v>
      </c>
      <c r="C72" s="70" t="s">
        <v>143</v>
      </c>
      <c r="D72" s="70" t="s">
        <v>193</v>
      </c>
      <c r="E72" s="84">
        <f t="array" ref="E72">XLOOKUP($D72,concepto_salarios,monto_salarios,0)</f>
        <v>45</v>
      </c>
      <c r="F72" s="72">
        <v>0.0</v>
      </c>
      <c r="G72" s="74">
        <v>0.0</v>
      </c>
      <c r="H72" s="84">
        <f t="shared" si="1"/>
        <v>45</v>
      </c>
      <c r="I72" s="76" t="str">
        <f t="shared" si="2"/>
        <v>noviembre</v>
      </c>
      <c r="J72" s="76">
        <f t="shared" si="3"/>
        <v>2025</v>
      </c>
    </row>
    <row r="73" ht="22.5" customHeight="1">
      <c r="A73" s="69">
        <v>45970.0</v>
      </c>
      <c r="B73" s="70" t="s">
        <v>73</v>
      </c>
      <c r="C73" s="70" t="s">
        <v>140</v>
      </c>
      <c r="D73" s="70" t="s">
        <v>141</v>
      </c>
      <c r="E73" s="84">
        <f t="array" ref="E73">XLOOKUP($D73,concepto_salarios,monto_salarios,0)</f>
        <v>250</v>
      </c>
      <c r="F73" s="72">
        <v>0.0</v>
      </c>
      <c r="G73" s="74">
        <v>0.0</v>
      </c>
      <c r="H73" s="84">
        <f t="shared" si="1"/>
        <v>250</v>
      </c>
      <c r="I73" s="76" t="str">
        <f t="shared" si="2"/>
        <v>noviembre</v>
      </c>
      <c r="J73" s="76">
        <f t="shared" si="3"/>
        <v>2025</v>
      </c>
    </row>
    <row r="74" ht="22.5" customHeight="1">
      <c r="A74" s="69">
        <v>45970.0</v>
      </c>
      <c r="B74" s="70" t="s">
        <v>70</v>
      </c>
      <c r="C74" s="70" t="s">
        <v>140</v>
      </c>
      <c r="D74" s="70" t="s">
        <v>141</v>
      </c>
      <c r="E74" s="84">
        <f t="array" ref="E74">XLOOKUP($D74,concepto_salarios,monto_salarios,0)</f>
        <v>250</v>
      </c>
      <c r="F74" s="72">
        <v>0.0</v>
      </c>
      <c r="G74" s="74">
        <v>0.0</v>
      </c>
      <c r="H74" s="84">
        <f t="shared" si="1"/>
        <v>250</v>
      </c>
      <c r="I74" s="76" t="str">
        <f t="shared" si="2"/>
        <v>noviembre</v>
      </c>
      <c r="J74" s="76">
        <f t="shared" si="3"/>
        <v>2025</v>
      </c>
    </row>
    <row r="75" ht="22.5" customHeight="1">
      <c r="A75" s="69">
        <v>45970.0</v>
      </c>
      <c r="B75" s="70" t="s">
        <v>70</v>
      </c>
      <c r="C75" s="70" t="s">
        <v>143</v>
      </c>
      <c r="D75" s="70" t="s">
        <v>169</v>
      </c>
      <c r="E75" s="84">
        <f t="array" ref="E75">XLOOKUP($D75,concepto_salarios,monto_salarios,0)</f>
        <v>100</v>
      </c>
      <c r="F75" s="72">
        <v>0.0</v>
      </c>
      <c r="G75" s="74">
        <v>0.0</v>
      </c>
      <c r="H75" s="84">
        <f t="shared" si="1"/>
        <v>100</v>
      </c>
      <c r="I75" s="76" t="str">
        <f t="shared" si="2"/>
        <v>noviembre</v>
      </c>
      <c r="J75" s="76">
        <f t="shared" si="3"/>
        <v>2025</v>
      </c>
    </row>
    <row r="76" ht="22.5" customHeight="1">
      <c r="A76" s="69">
        <v>45970.0</v>
      </c>
      <c r="B76" s="70" t="s">
        <v>70</v>
      </c>
      <c r="C76" s="70" t="s">
        <v>143</v>
      </c>
      <c r="D76" s="70" t="s">
        <v>166</v>
      </c>
      <c r="E76" s="84">
        <f t="array" ref="E76">XLOOKUP($D76,concepto_salarios,monto_salarios,0)</f>
        <v>90</v>
      </c>
      <c r="F76" s="72">
        <v>0.0</v>
      </c>
      <c r="G76" s="74">
        <v>0.0</v>
      </c>
      <c r="H76" s="84">
        <f t="shared" si="1"/>
        <v>90</v>
      </c>
      <c r="I76" s="76" t="str">
        <f t="shared" si="2"/>
        <v>noviembre</v>
      </c>
      <c r="J76" s="76">
        <f t="shared" si="3"/>
        <v>2025</v>
      </c>
    </row>
    <row r="77" ht="22.5" customHeight="1">
      <c r="A77" s="69">
        <v>45970.0</v>
      </c>
      <c r="B77" s="70" t="s">
        <v>70</v>
      </c>
      <c r="C77" s="70" t="s">
        <v>163</v>
      </c>
      <c r="D77" s="70" t="s">
        <v>191</v>
      </c>
      <c r="E77" s="72">
        <v>100.0</v>
      </c>
      <c r="F77" s="72">
        <v>0.0</v>
      </c>
      <c r="G77" s="74">
        <v>0.0</v>
      </c>
      <c r="H77" s="84">
        <f t="shared" si="1"/>
        <v>100</v>
      </c>
      <c r="I77" s="76" t="str">
        <f t="shared" si="2"/>
        <v>noviembre</v>
      </c>
      <c r="J77" s="76">
        <f t="shared" si="3"/>
        <v>2025</v>
      </c>
    </row>
    <row r="78" ht="22.5" customHeight="1">
      <c r="A78" s="69">
        <v>45970.0</v>
      </c>
      <c r="B78" s="70" t="s">
        <v>56</v>
      </c>
      <c r="C78" s="70" t="s">
        <v>143</v>
      </c>
      <c r="D78" s="70" t="s">
        <v>194</v>
      </c>
      <c r="E78" s="84">
        <f t="array" ref="E78">XLOOKUP($D78,concepto_salarios,monto_salarios,0)</f>
        <v>90</v>
      </c>
      <c r="F78" s="72">
        <v>0.0</v>
      </c>
      <c r="G78" s="74">
        <v>0.0</v>
      </c>
      <c r="H78" s="84">
        <f t="shared" si="1"/>
        <v>90</v>
      </c>
      <c r="I78" s="76" t="str">
        <f t="shared" si="2"/>
        <v>noviembre</v>
      </c>
      <c r="J78" s="76">
        <f t="shared" si="3"/>
        <v>2025</v>
      </c>
    </row>
    <row r="79" ht="22.5" customHeight="1">
      <c r="A79" s="69">
        <v>45975.0</v>
      </c>
      <c r="B79" s="70" t="s">
        <v>76</v>
      </c>
      <c r="C79" s="70" t="s">
        <v>142</v>
      </c>
      <c r="D79" s="70" t="s">
        <v>195</v>
      </c>
      <c r="E79" s="84">
        <f t="array" ref="E79">XLOOKUP($D79,concepto_salarios,monto_salarios,0)</f>
        <v>150</v>
      </c>
      <c r="F79" s="72">
        <v>0.0</v>
      </c>
      <c r="G79" s="74">
        <v>50.0</v>
      </c>
      <c r="H79" s="84">
        <f t="shared" si="1"/>
        <v>200</v>
      </c>
      <c r="I79" s="76" t="str">
        <f t="shared" si="2"/>
        <v>noviembre</v>
      </c>
      <c r="J79" s="76">
        <f t="shared" si="3"/>
        <v>2025</v>
      </c>
    </row>
    <row r="80" ht="22.5" customHeight="1">
      <c r="A80" s="69">
        <v>45975.0</v>
      </c>
      <c r="B80" s="70" t="s">
        <v>76</v>
      </c>
      <c r="C80" s="70" t="s">
        <v>163</v>
      </c>
      <c r="D80" s="70" t="s">
        <v>196</v>
      </c>
      <c r="E80" s="84">
        <f t="array" ref="E80">XLOOKUP($D80,concepto_salarios,monto_salarios,0)</f>
        <v>100</v>
      </c>
      <c r="F80" s="72">
        <v>0.0</v>
      </c>
      <c r="G80" s="74">
        <v>0.0</v>
      </c>
      <c r="H80" s="84">
        <f t="shared" si="1"/>
        <v>100</v>
      </c>
      <c r="I80" s="76" t="str">
        <f t="shared" si="2"/>
        <v>noviembre</v>
      </c>
      <c r="J80" s="76">
        <f t="shared" si="3"/>
        <v>2025</v>
      </c>
    </row>
    <row r="81" ht="22.5" customHeight="1">
      <c r="A81" s="69">
        <v>45975.0</v>
      </c>
      <c r="B81" s="70" t="s">
        <v>51</v>
      </c>
      <c r="C81" s="70" t="s">
        <v>142</v>
      </c>
      <c r="D81" s="70" t="s">
        <v>195</v>
      </c>
      <c r="E81" s="84">
        <f t="array" ref="E81">XLOOKUP($D81,concepto_salarios,monto_salarios,0)</f>
        <v>150</v>
      </c>
      <c r="F81" s="72">
        <v>0.0</v>
      </c>
      <c r="G81" s="74">
        <v>50.0</v>
      </c>
      <c r="H81" s="84">
        <f t="shared" si="1"/>
        <v>200</v>
      </c>
      <c r="I81" s="76" t="str">
        <f t="shared" si="2"/>
        <v>noviembre</v>
      </c>
      <c r="J81" s="76">
        <f t="shared" si="3"/>
        <v>2025</v>
      </c>
    </row>
    <row r="82" ht="22.5" customHeight="1">
      <c r="A82" s="69">
        <v>45975.0</v>
      </c>
      <c r="B82" s="70" t="s">
        <v>51</v>
      </c>
      <c r="C82" s="70" t="s">
        <v>163</v>
      </c>
      <c r="D82" s="70" t="s">
        <v>196</v>
      </c>
      <c r="E82" s="84">
        <f t="array" ref="E82">XLOOKUP($D82,concepto_salarios,monto_salarios,0)</f>
        <v>100</v>
      </c>
      <c r="F82" s="72">
        <v>0.0</v>
      </c>
      <c r="G82" s="74">
        <v>0.0</v>
      </c>
      <c r="H82" s="84">
        <f t="shared" si="1"/>
        <v>100</v>
      </c>
      <c r="I82" s="76" t="str">
        <f t="shared" si="2"/>
        <v>noviembre</v>
      </c>
      <c r="J82" s="76">
        <f t="shared" si="3"/>
        <v>2025</v>
      </c>
    </row>
    <row r="83" ht="22.5" customHeight="1">
      <c r="A83" s="69">
        <v>45976.0</v>
      </c>
      <c r="B83" s="70" t="s">
        <v>46</v>
      </c>
      <c r="C83" s="70" t="s">
        <v>143</v>
      </c>
      <c r="D83" s="70" t="s">
        <v>197</v>
      </c>
      <c r="E83" s="84">
        <f t="array" ref="E83">XLOOKUP($D83,concepto_salarios,monto_salarios,0)</f>
        <v>100</v>
      </c>
      <c r="F83" s="72">
        <v>0.0</v>
      </c>
      <c r="G83" s="74">
        <v>0.0</v>
      </c>
      <c r="H83" s="84">
        <f t="shared" si="1"/>
        <v>100</v>
      </c>
      <c r="I83" s="76" t="str">
        <f t="shared" si="2"/>
        <v>noviembre</v>
      </c>
      <c r="J83" s="76">
        <f t="shared" si="3"/>
        <v>2025</v>
      </c>
    </row>
    <row r="84" ht="22.5" customHeight="1">
      <c r="A84" s="69">
        <v>45976.0</v>
      </c>
      <c r="B84" s="70" t="s">
        <v>46</v>
      </c>
      <c r="C84" s="70" t="s">
        <v>140</v>
      </c>
      <c r="D84" s="70" t="s">
        <v>141</v>
      </c>
      <c r="E84" s="84">
        <f t="array" ref="E84">XLOOKUP($D84,concepto_salarios,monto_salarios,0)</f>
        <v>250</v>
      </c>
      <c r="F84" s="72">
        <v>0.0</v>
      </c>
      <c r="G84" s="74">
        <v>0.0</v>
      </c>
      <c r="H84" s="84">
        <f t="shared" si="1"/>
        <v>250</v>
      </c>
      <c r="I84" s="76" t="str">
        <f t="shared" si="2"/>
        <v>noviembre</v>
      </c>
      <c r="J84" s="76">
        <f t="shared" si="3"/>
        <v>2025</v>
      </c>
    </row>
    <row r="85" ht="22.5" customHeight="1">
      <c r="A85" s="69">
        <v>45976.0</v>
      </c>
      <c r="B85" s="70" t="s">
        <v>46</v>
      </c>
      <c r="C85" s="70" t="s">
        <v>140</v>
      </c>
      <c r="D85" s="70" t="s">
        <v>198</v>
      </c>
      <c r="E85" s="84">
        <f t="array" ref="E85">XLOOKUP($D85,concepto_salarios,monto_salarios,0)</f>
        <v>200</v>
      </c>
      <c r="F85" s="72">
        <v>0.0</v>
      </c>
      <c r="G85" s="74">
        <v>0.0</v>
      </c>
      <c r="H85" s="84">
        <f t="shared" si="1"/>
        <v>200</v>
      </c>
      <c r="I85" s="76" t="str">
        <f t="shared" si="2"/>
        <v>noviembre</v>
      </c>
      <c r="J85" s="76">
        <f t="shared" si="3"/>
        <v>2025</v>
      </c>
    </row>
    <row r="86" ht="22.5" customHeight="1">
      <c r="A86" s="69">
        <v>45976.0</v>
      </c>
      <c r="B86" s="70" t="s">
        <v>46</v>
      </c>
      <c r="C86" s="70" t="s">
        <v>140</v>
      </c>
      <c r="D86" s="70" t="s">
        <v>199</v>
      </c>
      <c r="E86" s="84">
        <f t="array" ref="E86">XLOOKUP($D86,concepto_salarios,monto_salarios,0)</f>
        <v>100</v>
      </c>
      <c r="F86" s="72">
        <v>0.0</v>
      </c>
      <c r="G86" s="74">
        <v>0.0</v>
      </c>
      <c r="H86" s="84">
        <f t="shared" si="1"/>
        <v>100</v>
      </c>
      <c r="I86" s="76" t="str">
        <f t="shared" si="2"/>
        <v>noviembre</v>
      </c>
      <c r="J86" s="76">
        <f t="shared" si="3"/>
        <v>2025</v>
      </c>
    </row>
    <row r="87" ht="22.5" customHeight="1">
      <c r="A87" s="69">
        <v>45976.0</v>
      </c>
      <c r="B87" s="70" t="s">
        <v>46</v>
      </c>
      <c r="C87" s="70" t="s">
        <v>143</v>
      </c>
      <c r="D87" s="70" t="s">
        <v>179</v>
      </c>
      <c r="E87" s="84">
        <f t="array" ref="E87">XLOOKUP($D87,concepto_salarios,monto_salarios,0)</f>
        <v>50</v>
      </c>
      <c r="F87" s="72">
        <v>0.0</v>
      </c>
      <c r="G87" s="74">
        <v>0.0</v>
      </c>
      <c r="H87" s="84">
        <f t="shared" si="1"/>
        <v>50</v>
      </c>
      <c r="I87" s="76" t="str">
        <f t="shared" si="2"/>
        <v>noviembre</v>
      </c>
      <c r="J87" s="76">
        <f t="shared" si="3"/>
        <v>2025</v>
      </c>
    </row>
    <row r="88" ht="22.5" customHeight="1">
      <c r="A88" s="69">
        <v>45976.0</v>
      </c>
      <c r="B88" s="70" t="s">
        <v>79</v>
      </c>
      <c r="C88" s="70" t="s">
        <v>140</v>
      </c>
      <c r="D88" s="70" t="s">
        <v>199</v>
      </c>
      <c r="E88" s="84">
        <f t="array" ref="E88">XLOOKUP($D88,concepto_salarios,monto_salarios,0)</f>
        <v>100</v>
      </c>
      <c r="F88" s="72">
        <v>0.0</v>
      </c>
      <c r="G88" s="74">
        <v>0.0</v>
      </c>
      <c r="H88" s="84">
        <f t="shared" si="1"/>
        <v>100</v>
      </c>
      <c r="I88" s="76" t="str">
        <f t="shared" si="2"/>
        <v>noviembre</v>
      </c>
      <c r="J88" s="76">
        <f t="shared" si="3"/>
        <v>2025</v>
      </c>
    </row>
    <row r="89" ht="22.5" customHeight="1">
      <c r="A89" s="69">
        <v>45976.0</v>
      </c>
      <c r="B89" s="70" t="s">
        <v>79</v>
      </c>
      <c r="C89" s="70" t="s">
        <v>140</v>
      </c>
      <c r="D89" s="70" t="s">
        <v>145</v>
      </c>
      <c r="E89" s="84">
        <f t="array" ref="E89">XLOOKUP($D89,concepto_salarios,monto_salarios,0)</f>
        <v>350</v>
      </c>
      <c r="F89" s="72">
        <v>0.0</v>
      </c>
      <c r="G89" s="74">
        <v>0.0</v>
      </c>
      <c r="H89" s="84">
        <f t="shared" si="1"/>
        <v>350</v>
      </c>
      <c r="I89" s="76" t="str">
        <f t="shared" si="2"/>
        <v>noviembre</v>
      </c>
      <c r="J89" s="76">
        <f t="shared" si="3"/>
        <v>2025</v>
      </c>
    </row>
    <row r="90" ht="22.5" customHeight="1">
      <c r="A90" s="69">
        <v>45976.0</v>
      </c>
      <c r="B90" s="70" t="s">
        <v>79</v>
      </c>
      <c r="C90" s="70" t="s">
        <v>143</v>
      </c>
      <c r="D90" s="70" t="s">
        <v>192</v>
      </c>
      <c r="E90" s="84">
        <f t="array" ref="E90">XLOOKUP($D90,concepto_salarios,monto_salarios,0)</f>
        <v>50</v>
      </c>
      <c r="F90" s="72">
        <v>0.0</v>
      </c>
      <c r="G90" s="74">
        <v>0.0</v>
      </c>
      <c r="H90" s="84">
        <f t="shared" si="1"/>
        <v>50</v>
      </c>
      <c r="I90" s="76" t="str">
        <f t="shared" si="2"/>
        <v>noviembre</v>
      </c>
      <c r="J90" s="76">
        <f t="shared" si="3"/>
        <v>2025</v>
      </c>
    </row>
    <row r="91" ht="22.5" customHeight="1">
      <c r="A91" s="69">
        <v>45976.0</v>
      </c>
      <c r="B91" s="70" t="s">
        <v>51</v>
      </c>
      <c r="C91" s="70" t="s">
        <v>142</v>
      </c>
      <c r="D91" s="70" t="s">
        <v>200</v>
      </c>
      <c r="E91" s="84">
        <f t="array" ref="E91">XLOOKUP($D91,concepto_salarios,monto_salarios,0)</f>
        <v>990</v>
      </c>
      <c r="F91" s="72">
        <v>0.0</v>
      </c>
      <c r="G91" s="74">
        <v>0.0</v>
      </c>
      <c r="H91" s="84">
        <f t="shared" si="1"/>
        <v>990</v>
      </c>
      <c r="I91" s="76" t="str">
        <f t="shared" si="2"/>
        <v>noviembre</v>
      </c>
      <c r="J91" s="76">
        <f t="shared" si="3"/>
        <v>2025</v>
      </c>
    </row>
    <row r="92" ht="22.5" customHeight="1">
      <c r="A92" s="69">
        <v>45976.0</v>
      </c>
      <c r="B92" s="70" t="s">
        <v>51</v>
      </c>
      <c r="C92" s="70" t="s">
        <v>143</v>
      </c>
      <c r="D92" s="70" t="s">
        <v>176</v>
      </c>
      <c r="E92" s="84">
        <f t="array" ref="E92">XLOOKUP($D92,concepto_salarios,monto_salarios,0)</f>
        <v>200</v>
      </c>
      <c r="F92" s="72">
        <v>0.0</v>
      </c>
      <c r="G92" s="74">
        <v>0.0</v>
      </c>
      <c r="H92" s="84">
        <f t="shared" si="1"/>
        <v>200</v>
      </c>
      <c r="I92" s="76" t="str">
        <f t="shared" si="2"/>
        <v>noviembre</v>
      </c>
      <c r="J92" s="76">
        <f t="shared" si="3"/>
        <v>2025</v>
      </c>
    </row>
    <row r="93" ht="22.5" customHeight="1">
      <c r="A93" s="69">
        <v>45976.0</v>
      </c>
      <c r="B93" s="70" t="s">
        <v>61</v>
      </c>
      <c r="C93" s="70" t="s">
        <v>143</v>
      </c>
      <c r="D93" s="70" t="s">
        <v>179</v>
      </c>
      <c r="E93" s="84">
        <f t="array" ref="E93">XLOOKUP($D93,concepto_salarios,monto_salarios,0)</f>
        <v>50</v>
      </c>
      <c r="F93" s="72">
        <v>0.0</v>
      </c>
      <c r="G93" s="74">
        <v>0.0</v>
      </c>
      <c r="H93" s="84">
        <f t="shared" si="1"/>
        <v>50</v>
      </c>
      <c r="I93" s="76" t="str">
        <f t="shared" si="2"/>
        <v>noviembre</v>
      </c>
      <c r="J93" s="76">
        <f t="shared" si="3"/>
        <v>2025</v>
      </c>
    </row>
    <row r="94" ht="22.5" customHeight="1">
      <c r="A94" s="69">
        <v>45976.0</v>
      </c>
      <c r="B94" s="70" t="s">
        <v>61</v>
      </c>
      <c r="C94" s="70" t="s">
        <v>143</v>
      </c>
      <c r="D94" s="70" t="s">
        <v>181</v>
      </c>
      <c r="E94" s="84">
        <f t="array" ref="E94">XLOOKUP($D94,concepto_salarios,monto_salarios,0)</f>
        <v>75</v>
      </c>
      <c r="F94" s="72">
        <v>0.0</v>
      </c>
      <c r="G94" s="74">
        <v>0.0</v>
      </c>
      <c r="H94" s="84">
        <f t="shared" si="1"/>
        <v>75</v>
      </c>
      <c r="I94" s="76" t="str">
        <f t="shared" si="2"/>
        <v>noviembre</v>
      </c>
      <c r="J94" s="76">
        <f t="shared" si="3"/>
        <v>2025</v>
      </c>
    </row>
    <row r="95" ht="22.5" customHeight="1">
      <c r="A95" s="69">
        <v>45976.0</v>
      </c>
      <c r="B95" s="70" t="s">
        <v>61</v>
      </c>
      <c r="C95" s="70" t="s">
        <v>143</v>
      </c>
      <c r="D95" s="70" t="s">
        <v>184</v>
      </c>
      <c r="E95" s="84">
        <f t="array" ref="E95">XLOOKUP($D95,concepto_salarios,monto_salarios,0)</f>
        <v>120</v>
      </c>
      <c r="F95" s="72">
        <v>0.0</v>
      </c>
      <c r="G95" s="74">
        <v>0.0</v>
      </c>
      <c r="H95" s="84">
        <f t="shared" si="1"/>
        <v>120</v>
      </c>
      <c r="I95" s="76" t="str">
        <f t="shared" si="2"/>
        <v>noviembre</v>
      </c>
      <c r="J95" s="76">
        <f t="shared" si="3"/>
        <v>2025</v>
      </c>
    </row>
    <row r="96" ht="22.5" customHeight="1">
      <c r="A96" s="69">
        <v>45976.0</v>
      </c>
      <c r="B96" s="70" t="s">
        <v>61</v>
      </c>
      <c r="C96" s="70" t="s">
        <v>140</v>
      </c>
      <c r="D96" s="70" t="s">
        <v>145</v>
      </c>
      <c r="E96" s="84">
        <f t="array" ref="E96">XLOOKUP($D96,concepto_salarios,monto_salarios,0)</f>
        <v>350</v>
      </c>
      <c r="F96" s="72">
        <v>0.0</v>
      </c>
      <c r="G96" s="74">
        <v>0.0</v>
      </c>
      <c r="H96" s="84">
        <f t="shared" si="1"/>
        <v>350</v>
      </c>
      <c r="I96" s="76" t="str">
        <f t="shared" si="2"/>
        <v>noviembre</v>
      </c>
      <c r="J96" s="76">
        <f t="shared" si="3"/>
        <v>2025</v>
      </c>
    </row>
    <row r="97" ht="22.5" customHeight="1">
      <c r="A97" s="69">
        <v>45976.0</v>
      </c>
      <c r="B97" s="70" t="s">
        <v>61</v>
      </c>
      <c r="C97" s="70" t="s">
        <v>140</v>
      </c>
      <c r="D97" s="70" t="s">
        <v>201</v>
      </c>
      <c r="E97" s="84">
        <f t="array" ref="E97">XLOOKUP($D97,concepto_salarios,monto_salarios,0)</f>
        <v>100</v>
      </c>
      <c r="F97" s="72">
        <v>0.0</v>
      </c>
      <c r="G97" s="74">
        <v>0.0</v>
      </c>
      <c r="H97" s="84">
        <f t="shared" si="1"/>
        <v>100</v>
      </c>
      <c r="I97" s="76" t="str">
        <f t="shared" si="2"/>
        <v>noviembre</v>
      </c>
      <c r="J97" s="76">
        <f t="shared" si="3"/>
        <v>2025</v>
      </c>
    </row>
    <row r="98" ht="22.5" customHeight="1">
      <c r="A98" s="69">
        <v>45976.0</v>
      </c>
      <c r="B98" s="70" t="s">
        <v>41</v>
      </c>
      <c r="C98" s="70" t="s">
        <v>143</v>
      </c>
      <c r="D98" s="70" t="s">
        <v>197</v>
      </c>
      <c r="E98" s="84">
        <f t="array" ref="E98">XLOOKUP($D98,concepto_salarios,monto_salarios,0)</f>
        <v>100</v>
      </c>
      <c r="F98" s="72">
        <v>0.0</v>
      </c>
      <c r="G98" s="74">
        <v>0.0</v>
      </c>
      <c r="H98" s="84">
        <f t="shared" si="1"/>
        <v>100</v>
      </c>
      <c r="I98" s="76" t="str">
        <f t="shared" si="2"/>
        <v>noviembre</v>
      </c>
      <c r="J98" s="76">
        <f t="shared" si="3"/>
        <v>2025</v>
      </c>
    </row>
    <row r="99" ht="22.5" customHeight="1">
      <c r="A99" s="69">
        <v>45976.0</v>
      </c>
      <c r="B99" s="70" t="s">
        <v>41</v>
      </c>
      <c r="C99" s="70" t="s">
        <v>140</v>
      </c>
      <c r="D99" s="70" t="s">
        <v>141</v>
      </c>
      <c r="E99" s="84">
        <f t="array" ref="E99">XLOOKUP($D99,concepto_salarios,monto_salarios,0)</f>
        <v>250</v>
      </c>
      <c r="F99" s="72">
        <v>0.0</v>
      </c>
      <c r="G99" s="74">
        <v>0.0</v>
      </c>
      <c r="H99" s="84">
        <f t="shared" si="1"/>
        <v>250</v>
      </c>
      <c r="I99" s="76" t="str">
        <f t="shared" si="2"/>
        <v>noviembre</v>
      </c>
      <c r="J99" s="76">
        <f t="shared" si="3"/>
        <v>2025</v>
      </c>
    </row>
    <row r="100" ht="22.5" customHeight="1">
      <c r="A100" s="69">
        <v>45976.0</v>
      </c>
      <c r="B100" s="70" t="s">
        <v>41</v>
      </c>
      <c r="C100" s="70" t="s">
        <v>140</v>
      </c>
      <c r="D100" s="70" t="s">
        <v>141</v>
      </c>
      <c r="E100" s="84">
        <f t="array" ref="E100">XLOOKUP($D100,concepto_salarios,monto_salarios,0)</f>
        <v>250</v>
      </c>
      <c r="F100" s="72">
        <v>0.0</v>
      </c>
      <c r="G100" s="74">
        <v>0.0</v>
      </c>
      <c r="H100" s="84">
        <f t="shared" si="1"/>
        <v>250</v>
      </c>
      <c r="I100" s="76" t="str">
        <f t="shared" si="2"/>
        <v>noviembre</v>
      </c>
      <c r="J100" s="76">
        <f t="shared" si="3"/>
        <v>2025</v>
      </c>
    </row>
    <row r="101" ht="22.5" customHeight="1">
      <c r="A101" s="69">
        <v>45976.0</v>
      </c>
      <c r="B101" s="70" t="s">
        <v>41</v>
      </c>
      <c r="C101" s="70" t="s">
        <v>143</v>
      </c>
      <c r="D101" s="70" t="s">
        <v>179</v>
      </c>
      <c r="E101" s="84">
        <f t="array" ref="E101">XLOOKUP($D101,concepto_salarios,monto_salarios,0)</f>
        <v>50</v>
      </c>
      <c r="F101" s="72">
        <v>0.0</v>
      </c>
      <c r="G101" s="74">
        <v>0.0</v>
      </c>
      <c r="H101" s="84">
        <f t="shared" si="1"/>
        <v>50</v>
      </c>
      <c r="I101" s="76" t="str">
        <f t="shared" si="2"/>
        <v>noviembre</v>
      </c>
      <c r="J101" s="76">
        <f t="shared" si="3"/>
        <v>2025</v>
      </c>
    </row>
    <row r="102" ht="22.5" customHeight="1">
      <c r="A102" s="69">
        <v>45976.0</v>
      </c>
      <c r="B102" s="70" t="s">
        <v>41</v>
      </c>
      <c r="C102" s="70" t="s">
        <v>163</v>
      </c>
      <c r="D102" s="70" t="s">
        <v>164</v>
      </c>
      <c r="E102" s="84">
        <f t="array" ref="E102">XLOOKUP($D102,concepto_salarios,monto_salarios,0)</f>
        <v>100</v>
      </c>
      <c r="F102" s="72">
        <v>0.0</v>
      </c>
      <c r="G102" s="74">
        <v>0.0</v>
      </c>
      <c r="H102" s="84">
        <f t="shared" si="1"/>
        <v>100</v>
      </c>
      <c r="I102" s="76" t="str">
        <f t="shared" si="2"/>
        <v>noviembre</v>
      </c>
      <c r="J102" s="76">
        <f t="shared" si="3"/>
        <v>2025</v>
      </c>
    </row>
    <row r="103" ht="22.5" customHeight="1">
      <c r="A103" s="69">
        <v>45976.0</v>
      </c>
      <c r="B103" s="70" t="s">
        <v>73</v>
      </c>
      <c r="C103" s="70" t="s">
        <v>140</v>
      </c>
      <c r="D103" s="70" t="s">
        <v>199</v>
      </c>
      <c r="E103" s="84">
        <f t="array" ref="E103">XLOOKUP($D103,concepto_salarios,monto_salarios,0)</f>
        <v>100</v>
      </c>
      <c r="F103" s="72">
        <v>0.0</v>
      </c>
      <c r="G103" s="74">
        <v>0.0</v>
      </c>
      <c r="H103" s="84">
        <f t="shared" si="1"/>
        <v>100</v>
      </c>
      <c r="I103" s="76" t="str">
        <f t="shared" si="2"/>
        <v>noviembre</v>
      </c>
      <c r="J103" s="76">
        <f t="shared" si="3"/>
        <v>2025</v>
      </c>
    </row>
    <row r="104" ht="22.5" customHeight="1">
      <c r="A104" s="69">
        <v>45976.0</v>
      </c>
      <c r="B104" s="70" t="s">
        <v>73</v>
      </c>
      <c r="C104" s="70" t="s">
        <v>140</v>
      </c>
      <c r="D104" s="70" t="s">
        <v>145</v>
      </c>
      <c r="E104" s="84">
        <f t="array" ref="E104">XLOOKUP($D104,concepto_salarios,monto_salarios,0)</f>
        <v>350</v>
      </c>
      <c r="F104" s="72">
        <v>0.0</v>
      </c>
      <c r="G104" s="74">
        <v>0.0</v>
      </c>
      <c r="H104" s="84">
        <f t="shared" si="1"/>
        <v>350</v>
      </c>
      <c r="I104" s="76" t="str">
        <f t="shared" si="2"/>
        <v>noviembre</v>
      </c>
      <c r="J104" s="76">
        <f t="shared" si="3"/>
        <v>2025</v>
      </c>
    </row>
    <row r="105" ht="22.5" customHeight="1">
      <c r="A105" s="69">
        <v>45976.0</v>
      </c>
      <c r="B105" s="70" t="s">
        <v>73</v>
      </c>
      <c r="C105" s="70" t="s">
        <v>143</v>
      </c>
      <c r="D105" s="70" t="s">
        <v>183</v>
      </c>
      <c r="E105" s="84">
        <f t="array" ref="E105">XLOOKUP($D105,concepto_salarios,monto_salarios,0)</f>
        <v>50</v>
      </c>
      <c r="F105" s="72">
        <v>0.0</v>
      </c>
      <c r="G105" s="74">
        <v>0.0</v>
      </c>
      <c r="H105" s="84">
        <f t="shared" si="1"/>
        <v>50</v>
      </c>
      <c r="I105" s="76" t="str">
        <f t="shared" si="2"/>
        <v>noviembre</v>
      </c>
      <c r="J105" s="76">
        <f t="shared" si="3"/>
        <v>2025</v>
      </c>
    </row>
    <row r="106" ht="22.5" customHeight="1">
      <c r="A106" s="69">
        <v>45976.0</v>
      </c>
      <c r="B106" s="70" t="s">
        <v>70</v>
      </c>
      <c r="C106" s="70" t="s">
        <v>143</v>
      </c>
      <c r="D106" s="70" t="s">
        <v>179</v>
      </c>
      <c r="E106" s="84">
        <f t="array" ref="E106">XLOOKUP($D106,concepto_salarios,monto_salarios,0)</f>
        <v>50</v>
      </c>
      <c r="F106" s="72">
        <v>0.0</v>
      </c>
      <c r="G106" s="74">
        <v>0.0</v>
      </c>
      <c r="H106" s="84">
        <f t="shared" si="1"/>
        <v>50</v>
      </c>
      <c r="I106" s="76" t="str">
        <f t="shared" si="2"/>
        <v>noviembre</v>
      </c>
      <c r="J106" s="76">
        <f t="shared" si="3"/>
        <v>2025</v>
      </c>
    </row>
    <row r="107" ht="22.5" customHeight="1">
      <c r="A107" s="69">
        <v>45976.0</v>
      </c>
      <c r="B107" s="70" t="s">
        <v>70</v>
      </c>
      <c r="C107" s="70" t="s">
        <v>143</v>
      </c>
      <c r="D107" s="70" t="s">
        <v>170</v>
      </c>
      <c r="E107" s="84">
        <f t="array" ref="E107">XLOOKUP($D107,concepto_salarios,monto_salarios,0)</f>
        <v>150</v>
      </c>
      <c r="F107" s="72">
        <v>0.0</v>
      </c>
      <c r="G107" s="74">
        <v>0.0</v>
      </c>
      <c r="H107" s="84">
        <f t="shared" si="1"/>
        <v>150</v>
      </c>
      <c r="I107" s="76" t="str">
        <f t="shared" si="2"/>
        <v>noviembre</v>
      </c>
      <c r="J107" s="76">
        <f t="shared" si="3"/>
        <v>2025</v>
      </c>
    </row>
    <row r="108" ht="22.5" customHeight="1">
      <c r="A108" s="69">
        <v>45976.0</v>
      </c>
      <c r="B108" s="70" t="s">
        <v>70</v>
      </c>
      <c r="C108" s="70" t="s">
        <v>140</v>
      </c>
      <c r="D108" s="70" t="s">
        <v>199</v>
      </c>
      <c r="E108" s="84">
        <f t="array" ref="E108">XLOOKUP($D108,concepto_salarios,monto_salarios,0)</f>
        <v>100</v>
      </c>
      <c r="F108" s="72">
        <v>0.0</v>
      </c>
      <c r="G108" s="74">
        <v>0.0</v>
      </c>
      <c r="H108" s="84">
        <f t="shared" si="1"/>
        <v>100</v>
      </c>
      <c r="I108" s="76" t="str">
        <f t="shared" si="2"/>
        <v>noviembre</v>
      </c>
      <c r="J108" s="76">
        <f t="shared" si="3"/>
        <v>2025</v>
      </c>
    </row>
    <row r="109" ht="22.5" customHeight="1">
      <c r="A109" s="69">
        <v>45976.0</v>
      </c>
      <c r="B109" s="70" t="s">
        <v>70</v>
      </c>
      <c r="C109" s="70" t="s">
        <v>163</v>
      </c>
      <c r="D109" s="70" t="s">
        <v>202</v>
      </c>
      <c r="E109" s="84">
        <f t="array" ref="E109">XLOOKUP($D109,concepto_salarios,monto_salarios,0)</f>
        <v>200</v>
      </c>
      <c r="F109" s="72">
        <v>0.0</v>
      </c>
      <c r="G109" s="74">
        <v>0.0</v>
      </c>
      <c r="H109" s="84">
        <f t="shared" si="1"/>
        <v>200</v>
      </c>
      <c r="I109" s="76" t="str">
        <f t="shared" si="2"/>
        <v>noviembre</v>
      </c>
      <c r="J109" s="76">
        <f t="shared" si="3"/>
        <v>2025</v>
      </c>
    </row>
    <row r="110" ht="22.5" customHeight="1">
      <c r="A110" s="69">
        <v>45976.0</v>
      </c>
      <c r="B110" s="70" t="s">
        <v>70</v>
      </c>
      <c r="C110" s="70" t="s">
        <v>163</v>
      </c>
      <c r="D110" s="70" t="s">
        <v>203</v>
      </c>
      <c r="E110" s="84">
        <f t="array" ref="E110">XLOOKUP($D110,concepto_salarios,monto_salarios,0)</f>
        <v>250</v>
      </c>
      <c r="F110" s="72">
        <v>0.0</v>
      </c>
      <c r="G110" s="74">
        <v>0.0</v>
      </c>
      <c r="H110" s="84">
        <f t="shared" si="1"/>
        <v>250</v>
      </c>
      <c r="I110" s="76" t="str">
        <f t="shared" si="2"/>
        <v>noviembre</v>
      </c>
      <c r="J110" s="76">
        <f t="shared" si="3"/>
        <v>2025</v>
      </c>
    </row>
    <row r="111" ht="22.5" customHeight="1">
      <c r="A111" s="69">
        <v>45976.0</v>
      </c>
      <c r="B111" s="70" t="s">
        <v>70</v>
      </c>
      <c r="C111" s="70" t="s">
        <v>143</v>
      </c>
      <c r="D111" s="70" t="s">
        <v>184</v>
      </c>
      <c r="E111" s="84">
        <f t="array" ref="E111">XLOOKUP($D111,concepto_salarios,monto_salarios,0)</f>
        <v>120</v>
      </c>
      <c r="F111" s="72">
        <v>0.0</v>
      </c>
      <c r="G111" s="74">
        <v>0.0</v>
      </c>
      <c r="H111" s="84">
        <f t="shared" si="1"/>
        <v>120</v>
      </c>
      <c r="I111" s="76" t="str">
        <f t="shared" si="2"/>
        <v>noviembre</v>
      </c>
      <c r="J111" s="76">
        <f t="shared" si="3"/>
        <v>2025</v>
      </c>
    </row>
    <row r="112" ht="22.5" customHeight="1">
      <c r="A112" s="69">
        <v>45976.0</v>
      </c>
      <c r="B112" s="70" t="s">
        <v>70</v>
      </c>
      <c r="C112" s="70" t="s">
        <v>140</v>
      </c>
      <c r="D112" s="70" t="s">
        <v>145</v>
      </c>
      <c r="E112" s="84">
        <f t="array" ref="E112">XLOOKUP($D112,concepto_salarios,monto_salarios,0)</f>
        <v>350</v>
      </c>
      <c r="F112" s="72">
        <v>0.0</v>
      </c>
      <c r="G112" s="74">
        <v>0.0</v>
      </c>
      <c r="H112" s="84">
        <f t="shared" si="1"/>
        <v>350</v>
      </c>
      <c r="I112" s="76" t="str">
        <f t="shared" si="2"/>
        <v>noviembre</v>
      </c>
      <c r="J112" s="76">
        <f t="shared" si="3"/>
        <v>2025</v>
      </c>
    </row>
    <row r="113" ht="22.5" customHeight="1">
      <c r="A113" s="69">
        <v>45976.0</v>
      </c>
      <c r="B113" s="70" t="s">
        <v>56</v>
      </c>
      <c r="C113" s="70" t="s">
        <v>143</v>
      </c>
      <c r="D113" s="70" t="s">
        <v>194</v>
      </c>
      <c r="E113" s="84">
        <f t="array" ref="E113">XLOOKUP($D113,concepto_salarios,monto_salarios,0)</f>
        <v>90</v>
      </c>
      <c r="F113" s="72">
        <v>0.0</v>
      </c>
      <c r="G113" s="74">
        <v>0.0</v>
      </c>
      <c r="H113" s="84">
        <f t="shared" si="1"/>
        <v>90</v>
      </c>
      <c r="I113" s="76" t="str">
        <f t="shared" si="2"/>
        <v>noviembre</v>
      </c>
      <c r="J113" s="76">
        <f t="shared" si="3"/>
        <v>2025</v>
      </c>
    </row>
    <row r="114" ht="22.5" customHeight="1">
      <c r="A114" s="69">
        <v>45977.0</v>
      </c>
      <c r="B114" s="70" t="s">
        <v>46</v>
      </c>
      <c r="C114" s="70" t="s">
        <v>148</v>
      </c>
      <c r="D114" s="70" t="s">
        <v>186</v>
      </c>
      <c r="E114" s="84">
        <f t="array" ref="E114">XLOOKUP($D114,concepto_salarios,monto_salarios,0)</f>
        <v>375</v>
      </c>
      <c r="F114" s="72">
        <v>75.0</v>
      </c>
      <c r="G114" s="74">
        <v>0.0</v>
      </c>
      <c r="H114" s="84">
        <f t="shared" si="1"/>
        <v>300</v>
      </c>
      <c r="I114" s="76" t="str">
        <f t="shared" si="2"/>
        <v>noviembre</v>
      </c>
      <c r="J114" s="76">
        <f t="shared" si="3"/>
        <v>2025</v>
      </c>
    </row>
    <row r="115" ht="22.5" customHeight="1">
      <c r="A115" s="69">
        <v>45977.0</v>
      </c>
      <c r="B115" s="70" t="s">
        <v>51</v>
      </c>
      <c r="C115" s="70" t="s">
        <v>142</v>
      </c>
      <c r="D115" s="70" t="s">
        <v>204</v>
      </c>
      <c r="E115" s="84">
        <f t="array" ref="E115">XLOOKUP($D115,concepto_salarios,monto_salarios,0)</f>
        <v>684</v>
      </c>
      <c r="F115" s="72">
        <v>0.0</v>
      </c>
      <c r="G115" s="74">
        <v>0.0</v>
      </c>
      <c r="H115" s="84">
        <f t="shared" si="1"/>
        <v>684</v>
      </c>
      <c r="I115" s="76" t="str">
        <f t="shared" si="2"/>
        <v>noviembre</v>
      </c>
      <c r="J115" s="76">
        <f t="shared" si="3"/>
        <v>2025</v>
      </c>
    </row>
    <row r="116" ht="22.5" customHeight="1">
      <c r="A116" s="69">
        <v>45977.0</v>
      </c>
      <c r="B116" s="70" t="s">
        <v>51</v>
      </c>
      <c r="C116" s="70" t="s">
        <v>148</v>
      </c>
      <c r="D116" s="70" t="s">
        <v>205</v>
      </c>
      <c r="E116" s="84">
        <f t="array" ref="E116">XLOOKUP($D116,concepto_salarios,monto_salarios,0)</f>
        <v>375</v>
      </c>
      <c r="F116" s="72">
        <v>175.0</v>
      </c>
      <c r="G116" s="74">
        <v>0.0</v>
      </c>
      <c r="H116" s="84">
        <f t="shared" si="1"/>
        <v>200</v>
      </c>
      <c r="I116" s="76" t="str">
        <f t="shared" si="2"/>
        <v>noviembre</v>
      </c>
      <c r="J116" s="76">
        <f t="shared" si="3"/>
        <v>2025</v>
      </c>
    </row>
    <row r="117" ht="22.5" customHeight="1">
      <c r="A117" s="69">
        <v>45977.0</v>
      </c>
      <c r="B117" s="70" t="s">
        <v>41</v>
      </c>
      <c r="C117" s="70" t="s">
        <v>143</v>
      </c>
      <c r="D117" s="70" t="s">
        <v>168</v>
      </c>
      <c r="E117" s="84">
        <f t="array" ref="E117">XLOOKUP($D117,concepto_salarios,monto_salarios,0)</f>
        <v>75</v>
      </c>
      <c r="F117" s="72">
        <v>0.0</v>
      </c>
      <c r="G117" s="74">
        <v>0.0</v>
      </c>
      <c r="H117" s="84">
        <f t="shared" si="1"/>
        <v>75</v>
      </c>
      <c r="I117" s="76" t="str">
        <f t="shared" si="2"/>
        <v>noviembre</v>
      </c>
      <c r="J117" s="76">
        <f t="shared" si="3"/>
        <v>2025</v>
      </c>
    </row>
    <row r="118" ht="22.5" customHeight="1">
      <c r="A118" s="69">
        <v>45977.0</v>
      </c>
      <c r="B118" s="70" t="s">
        <v>70</v>
      </c>
      <c r="C118" s="70" t="s">
        <v>143</v>
      </c>
      <c r="D118" s="70" t="s">
        <v>206</v>
      </c>
      <c r="E118" s="84">
        <f t="array" ref="E118">XLOOKUP($D118,concepto_salarios,monto_salarios,0)</f>
        <v>200</v>
      </c>
      <c r="F118" s="72">
        <v>0.0</v>
      </c>
      <c r="G118" s="74">
        <v>0.0</v>
      </c>
      <c r="H118" s="84">
        <f t="shared" si="1"/>
        <v>200</v>
      </c>
      <c r="I118" s="76" t="str">
        <f t="shared" si="2"/>
        <v>noviembre</v>
      </c>
      <c r="J118" s="76">
        <f t="shared" si="3"/>
        <v>2025</v>
      </c>
    </row>
    <row r="119" ht="22.5" customHeight="1">
      <c r="A119" s="69">
        <v>45977.0</v>
      </c>
      <c r="B119" s="70" t="s">
        <v>70</v>
      </c>
      <c r="C119" s="70" t="s">
        <v>143</v>
      </c>
      <c r="D119" s="70" t="s">
        <v>171</v>
      </c>
      <c r="E119" s="84">
        <f t="array" ref="E119">XLOOKUP($D119,concepto_salarios,monto_salarios,0)</f>
        <v>100</v>
      </c>
      <c r="F119" s="72">
        <v>0.0</v>
      </c>
      <c r="G119" s="74">
        <v>0.0</v>
      </c>
      <c r="H119" s="84">
        <f t="shared" si="1"/>
        <v>100</v>
      </c>
      <c r="I119" s="76" t="str">
        <f t="shared" si="2"/>
        <v>noviembre</v>
      </c>
      <c r="J119" s="76">
        <f t="shared" si="3"/>
        <v>2025</v>
      </c>
    </row>
    <row r="120" ht="22.5" customHeight="1">
      <c r="A120" s="69">
        <v>45977.0</v>
      </c>
      <c r="B120" s="70" t="s">
        <v>70</v>
      </c>
      <c r="C120" s="70" t="s">
        <v>148</v>
      </c>
      <c r="D120" s="70" t="s">
        <v>205</v>
      </c>
      <c r="E120" s="84">
        <f t="array" ref="E120">XLOOKUP($D120,concepto_salarios,monto_salarios,0)</f>
        <v>375</v>
      </c>
      <c r="F120" s="72">
        <v>75.0</v>
      </c>
      <c r="G120" s="74">
        <v>0.0</v>
      </c>
      <c r="H120" s="84">
        <f t="shared" si="1"/>
        <v>300</v>
      </c>
      <c r="I120" s="76" t="str">
        <f t="shared" si="2"/>
        <v>noviembre</v>
      </c>
      <c r="J120" s="76">
        <f t="shared" si="3"/>
        <v>2025</v>
      </c>
    </row>
    <row r="121" ht="22.5" customHeight="1">
      <c r="A121" s="69">
        <v>45977.0</v>
      </c>
      <c r="B121" s="70" t="s">
        <v>66</v>
      </c>
      <c r="C121" s="70" t="s">
        <v>142</v>
      </c>
      <c r="D121" s="70" t="s">
        <v>207</v>
      </c>
      <c r="E121" s="84">
        <f t="array" ref="E121">XLOOKUP($D121,concepto_salarios,monto_salarios,0)</f>
        <v>606</v>
      </c>
      <c r="F121" s="72">
        <v>0.0</v>
      </c>
      <c r="G121" s="74">
        <v>0.0</v>
      </c>
      <c r="H121" s="84">
        <f t="shared" si="1"/>
        <v>606</v>
      </c>
      <c r="I121" s="76" t="str">
        <f t="shared" si="2"/>
        <v>noviembre</v>
      </c>
      <c r="J121" s="76">
        <f t="shared" si="3"/>
        <v>2025</v>
      </c>
    </row>
    <row r="122" ht="22.5" customHeight="1">
      <c r="A122" s="69">
        <v>45977.0</v>
      </c>
      <c r="B122" s="70" t="s">
        <v>66</v>
      </c>
      <c r="C122" s="70" t="s">
        <v>148</v>
      </c>
      <c r="D122" s="70" t="s">
        <v>205</v>
      </c>
      <c r="E122" s="84">
        <f t="array" ref="E122">XLOOKUP($D122,concepto_salarios,monto_salarios,0)</f>
        <v>375</v>
      </c>
      <c r="F122" s="72">
        <v>175.0</v>
      </c>
      <c r="G122" s="74">
        <v>0.0</v>
      </c>
      <c r="H122" s="84">
        <f t="shared" si="1"/>
        <v>200</v>
      </c>
      <c r="I122" s="76" t="str">
        <f t="shared" si="2"/>
        <v>noviembre</v>
      </c>
      <c r="J122" s="76">
        <f t="shared" si="3"/>
        <v>2025</v>
      </c>
    </row>
    <row r="123" ht="22.5" customHeight="1">
      <c r="A123" s="69">
        <v>45977.0</v>
      </c>
      <c r="B123" s="70" t="s">
        <v>56</v>
      </c>
      <c r="C123" s="70" t="s">
        <v>148</v>
      </c>
      <c r="D123" s="70" t="s">
        <v>186</v>
      </c>
      <c r="E123" s="84">
        <f t="array" ref="E123">XLOOKUP($D123,concepto_salarios,monto_salarios,0)</f>
        <v>375</v>
      </c>
      <c r="F123" s="72">
        <v>75.0</v>
      </c>
      <c r="G123" s="74">
        <v>0.0</v>
      </c>
      <c r="H123" s="84">
        <f t="shared" si="1"/>
        <v>300</v>
      </c>
      <c r="I123" s="76" t="str">
        <f t="shared" si="2"/>
        <v>noviembre</v>
      </c>
      <c r="J123" s="76">
        <f t="shared" si="3"/>
        <v>2025</v>
      </c>
    </row>
    <row r="124" ht="22.5" customHeight="1">
      <c r="A124" s="69">
        <v>45982.0</v>
      </c>
      <c r="B124" s="70" t="s">
        <v>76</v>
      </c>
      <c r="C124" s="70" t="s">
        <v>140</v>
      </c>
      <c r="D124" s="70" t="s">
        <v>199</v>
      </c>
      <c r="E124" s="84">
        <f t="array" ref="E124">XLOOKUP($D124,concepto_salarios,monto_salarios,0)</f>
        <v>100</v>
      </c>
      <c r="F124" s="72">
        <v>0.0</v>
      </c>
      <c r="G124" s="74">
        <v>0.0</v>
      </c>
      <c r="H124" s="84">
        <f t="shared" si="1"/>
        <v>100</v>
      </c>
      <c r="I124" s="76" t="str">
        <f t="shared" si="2"/>
        <v>noviembre</v>
      </c>
      <c r="J124" s="76">
        <f t="shared" si="3"/>
        <v>2025</v>
      </c>
    </row>
    <row r="125" ht="22.5" customHeight="1">
      <c r="A125" s="69">
        <v>45982.0</v>
      </c>
      <c r="B125" s="70" t="s">
        <v>76</v>
      </c>
      <c r="C125" s="70" t="s">
        <v>140</v>
      </c>
      <c r="D125" s="70" t="s">
        <v>145</v>
      </c>
      <c r="E125" s="84">
        <f t="array" ref="E125">XLOOKUP($D125,concepto_salarios,monto_salarios,0)</f>
        <v>350</v>
      </c>
      <c r="F125" s="72">
        <v>0.0</v>
      </c>
      <c r="G125" s="74">
        <v>0.0</v>
      </c>
      <c r="H125" s="84">
        <f t="shared" si="1"/>
        <v>350</v>
      </c>
      <c r="I125" s="76" t="str">
        <f t="shared" si="2"/>
        <v>noviembre</v>
      </c>
      <c r="J125" s="76">
        <f t="shared" si="3"/>
        <v>2025</v>
      </c>
    </row>
    <row r="126" ht="22.5" customHeight="1">
      <c r="A126" s="69">
        <v>45982.0</v>
      </c>
      <c r="B126" s="70" t="s">
        <v>70</v>
      </c>
      <c r="C126" s="70" t="s">
        <v>140</v>
      </c>
      <c r="D126" s="70" t="s">
        <v>198</v>
      </c>
      <c r="E126" s="84">
        <f t="array" ref="E126">XLOOKUP($D126,concepto_salarios,monto_salarios,0)</f>
        <v>200</v>
      </c>
      <c r="F126" s="72">
        <v>0.0</v>
      </c>
      <c r="G126" s="74">
        <v>0.0</v>
      </c>
      <c r="H126" s="84">
        <f t="shared" si="1"/>
        <v>200</v>
      </c>
      <c r="I126" s="76" t="str">
        <f t="shared" si="2"/>
        <v>noviembre</v>
      </c>
      <c r="J126" s="76">
        <f t="shared" si="3"/>
        <v>2025</v>
      </c>
    </row>
    <row r="127" ht="22.5" customHeight="1">
      <c r="A127" s="69">
        <v>45982.0</v>
      </c>
      <c r="B127" s="70" t="s">
        <v>70</v>
      </c>
      <c r="C127" s="70" t="s">
        <v>140</v>
      </c>
      <c r="D127" s="70" t="s">
        <v>145</v>
      </c>
      <c r="E127" s="84">
        <f t="array" ref="E127">XLOOKUP($D127,concepto_salarios,monto_salarios,0)</f>
        <v>350</v>
      </c>
      <c r="F127" s="72">
        <v>0.0</v>
      </c>
      <c r="G127" s="74">
        <v>0.0</v>
      </c>
      <c r="H127" s="84">
        <f t="shared" si="1"/>
        <v>350</v>
      </c>
      <c r="I127" s="76" t="str">
        <f t="shared" si="2"/>
        <v>noviembre</v>
      </c>
      <c r="J127" s="76">
        <f t="shared" si="3"/>
        <v>2025</v>
      </c>
    </row>
    <row r="128" ht="22.5" customHeight="1">
      <c r="A128" s="69">
        <v>45982.0</v>
      </c>
      <c r="B128" s="70" t="s">
        <v>81</v>
      </c>
      <c r="C128" s="70" t="s">
        <v>140</v>
      </c>
      <c r="D128" s="70" t="s">
        <v>141</v>
      </c>
      <c r="E128" s="84">
        <f t="array" ref="E128">XLOOKUP($D128,concepto_salarios,monto_salarios,0)</f>
        <v>250</v>
      </c>
      <c r="F128" s="72">
        <v>0.0</v>
      </c>
      <c r="G128" s="74">
        <v>0.0</v>
      </c>
      <c r="H128" s="84">
        <f t="shared" si="1"/>
        <v>250</v>
      </c>
      <c r="I128" s="76" t="str">
        <f t="shared" si="2"/>
        <v>noviembre</v>
      </c>
      <c r="J128" s="76">
        <f t="shared" si="3"/>
        <v>2025</v>
      </c>
    </row>
    <row r="129" ht="22.5" customHeight="1">
      <c r="A129" s="69">
        <v>45983.0</v>
      </c>
      <c r="B129" s="70" t="s">
        <v>46</v>
      </c>
      <c r="C129" s="70" t="s">
        <v>142</v>
      </c>
      <c r="D129" s="70" t="s">
        <v>208</v>
      </c>
      <c r="E129" s="84">
        <f t="array" ref="E129">XLOOKUP($D129,concepto_salarios,monto_salarios,0)</f>
        <v>504</v>
      </c>
      <c r="F129" s="72">
        <v>0.0</v>
      </c>
      <c r="G129" s="74">
        <v>100.0</v>
      </c>
      <c r="H129" s="84">
        <f t="shared" si="1"/>
        <v>604</v>
      </c>
      <c r="I129" s="76" t="str">
        <f t="shared" si="2"/>
        <v>noviembre</v>
      </c>
      <c r="J129" s="76">
        <f t="shared" si="3"/>
        <v>2025</v>
      </c>
    </row>
    <row r="130" ht="22.5" customHeight="1">
      <c r="A130" s="69">
        <v>45983.0</v>
      </c>
      <c r="B130" s="70" t="s">
        <v>46</v>
      </c>
      <c r="C130" s="70" t="s">
        <v>148</v>
      </c>
      <c r="D130" s="70" t="s">
        <v>209</v>
      </c>
      <c r="E130" s="84">
        <f t="array" ref="E130">XLOOKUP($D130,concepto_salarios,monto_salarios,0)</f>
        <v>150</v>
      </c>
      <c r="F130" s="72">
        <v>0.0</v>
      </c>
      <c r="G130" s="74">
        <v>0.0</v>
      </c>
      <c r="H130" s="84">
        <f t="shared" si="1"/>
        <v>150</v>
      </c>
      <c r="I130" s="76" t="str">
        <f t="shared" si="2"/>
        <v>noviembre</v>
      </c>
      <c r="J130" s="76">
        <f t="shared" si="3"/>
        <v>2025</v>
      </c>
    </row>
    <row r="131" ht="22.5" customHeight="1">
      <c r="A131" s="69">
        <v>45983.0</v>
      </c>
      <c r="B131" s="70" t="s">
        <v>79</v>
      </c>
      <c r="C131" s="70" t="s">
        <v>140</v>
      </c>
      <c r="D131" s="70" t="s">
        <v>145</v>
      </c>
      <c r="E131" s="84">
        <f t="array" ref="E131">XLOOKUP($D131,concepto_salarios,monto_salarios,0)</f>
        <v>350</v>
      </c>
      <c r="F131" s="72">
        <v>0.0</v>
      </c>
      <c r="G131" s="74">
        <v>0.0</v>
      </c>
      <c r="H131" s="84">
        <f t="shared" si="1"/>
        <v>350</v>
      </c>
      <c r="I131" s="76" t="str">
        <f t="shared" si="2"/>
        <v>noviembre</v>
      </c>
      <c r="J131" s="76">
        <f t="shared" si="3"/>
        <v>2025</v>
      </c>
    </row>
    <row r="132" ht="22.5" customHeight="1">
      <c r="A132" s="69">
        <v>45983.0</v>
      </c>
      <c r="B132" s="70" t="s">
        <v>79</v>
      </c>
      <c r="C132" s="70" t="s">
        <v>163</v>
      </c>
      <c r="D132" s="70" t="s">
        <v>164</v>
      </c>
      <c r="E132" s="84">
        <f t="array" ref="E132">XLOOKUP($D132,concepto_salarios,monto_salarios,0)</f>
        <v>100</v>
      </c>
      <c r="F132" s="72">
        <v>0.0</v>
      </c>
      <c r="G132" s="74">
        <v>0.0</v>
      </c>
      <c r="H132" s="84">
        <f t="shared" si="1"/>
        <v>100</v>
      </c>
      <c r="I132" s="76" t="str">
        <f t="shared" si="2"/>
        <v>noviembre</v>
      </c>
      <c r="J132" s="76">
        <f t="shared" si="3"/>
        <v>2025</v>
      </c>
    </row>
    <row r="133" ht="22.5" customHeight="1">
      <c r="A133" s="69">
        <v>45983.0</v>
      </c>
      <c r="B133" s="70" t="s">
        <v>51</v>
      </c>
      <c r="C133" s="70" t="s">
        <v>142</v>
      </c>
      <c r="D133" s="70" t="s">
        <v>185</v>
      </c>
      <c r="E133" s="84">
        <f t="array" ref="E133">XLOOKUP($D133,concepto_salarios,monto_salarios,0)</f>
        <v>1080</v>
      </c>
      <c r="F133" s="72">
        <v>0.0</v>
      </c>
      <c r="G133" s="74">
        <v>0.0</v>
      </c>
      <c r="H133" s="84">
        <f t="shared" si="1"/>
        <v>1080</v>
      </c>
      <c r="I133" s="76" t="str">
        <f t="shared" si="2"/>
        <v>noviembre</v>
      </c>
      <c r="J133" s="76">
        <f t="shared" si="3"/>
        <v>2025</v>
      </c>
    </row>
    <row r="134" ht="22.5" customHeight="1">
      <c r="A134" s="69">
        <v>45983.0</v>
      </c>
      <c r="B134" s="70" t="s">
        <v>51</v>
      </c>
      <c r="C134" s="70" t="s">
        <v>148</v>
      </c>
      <c r="D134" s="70" t="s">
        <v>210</v>
      </c>
      <c r="E134" s="84">
        <f t="array" ref="E134">XLOOKUP($D134,concepto_salarios,monto_salarios,0)</f>
        <v>150</v>
      </c>
      <c r="F134" s="72">
        <v>50.0</v>
      </c>
      <c r="G134" s="74">
        <v>0.0</v>
      </c>
      <c r="H134" s="84">
        <f t="shared" si="1"/>
        <v>100</v>
      </c>
      <c r="I134" s="76" t="str">
        <f t="shared" si="2"/>
        <v>noviembre</v>
      </c>
      <c r="J134" s="76">
        <f t="shared" si="3"/>
        <v>2025</v>
      </c>
    </row>
    <row r="135" ht="22.5" customHeight="1">
      <c r="A135" s="69">
        <v>45983.0</v>
      </c>
      <c r="B135" s="70" t="s">
        <v>51</v>
      </c>
      <c r="C135" s="70" t="s">
        <v>148</v>
      </c>
      <c r="D135" s="70" t="s">
        <v>186</v>
      </c>
      <c r="E135" s="84">
        <f t="array" ref="E135">XLOOKUP($D135,concepto_salarios,monto_salarios,0)</f>
        <v>375</v>
      </c>
      <c r="F135" s="72">
        <v>0.0</v>
      </c>
      <c r="G135" s="74">
        <v>0.0</v>
      </c>
      <c r="H135" s="84">
        <f t="shared" si="1"/>
        <v>375</v>
      </c>
      <c r="I135" s="76" t="str">
        <f t="shared" si="2"/>
        <v>noviembre</v>
      </c>
      <c r="J135" s="76">
        <f t="shared" si="3"/>
        <v>2025</v>
      </c>
    </row>
    <row r="136" ht="22.5" customHeight="1">
      <c r="A136" s="69">
        <v>45983.0</v>
      </c>
      <c r="B136" s="70" t="s">
        <v>51</v>
      </c>
      <c r="C136" s="70" t="s">
        <v>148</v>
      </c>
      <c r="D136" s="70" t="s">
        <v>205</v>
      </c>
      <c r="E136" s="84">
        <f t="array" ref="E136">XLOOKUP($D136,concepto_salarios,monto_salarios,0)</f>
        <v>375</v>
      </c>
      <c r="F136" s="72">
        <v>125.0</v>
      </c>
      <c r="G136" s="74">
        <v>0.0</v>
      </c>
      <c r="H136" s="84">
        <f t="shared" si="1"/>
        <v>250</v>
      </c>
      <c r="I136" s="76" t="str">
        <f t="shared" si="2"/>
        <v>noviembre</v>
      </c>
      <c r="J136" s="76">
        <f t="shared" si="3"/>
        <v>2025</v>
      </c>
    </row>
    <row r="137" ht="22.5" customHeight="1">
      <c r="A137" s="69">
        <v>45983.0</v>
      </c>
      <c r="B137" s="70" t="s">
        <v>61</v>
      </c>
      <c r="C137" s="70" t="s">
        <v>143</v>
      </c>
      <c r="D137" s="70" t="s">
        <v>211</v>
      </c>
      <c r="E137" s="84">
        <f t="array" ref="E137">XLOOKUP($D137,concepto_salarios,monto_salarios,0)</f>
        <v>45</v>
      </c>
      <c r="F137" s="72">
        <v>0.0</v>
      </c>
      <c r="G137" s="74">
        <v>0.0</v>
      </c>
      <c r="H137" s="84">
        <f t="shared" si="1"/>
        <v>45</v>
      </c>
      <c r="I137" s="76" t="str">
        <f t="shared" si="2"/>
        <v>noviembre</v>
      </c>
      <c r="J137" s="76">
        <f t="shared" si="3"/>
        <v>2025</v>
      </c>
    </row>
    <row r="138" ht="22.5" customHeight="1">
      <c r="A138" s="69">
        <v>45983.0</v>
      </c>
      <c r="B138" s="70" t="s">
        <v>61</v>
      </c>
      <c r="C138" s="70" t="s">
        <v>143</v>
      </c>
      <c r="D138" s="70" t="s">
        <v>212</v>
      </c>
      <c r="E138" s="84">
        <f t="array" ref="E138">XLOOKUP($D138,concepto_salarios,monto_salarios,0)</f>
        <v>50</v>
      </c>
      <c r="F138" s="72">
        <v>0.0</v>
      </c>
      <c r="G138" s="74">
        <v>0.0</v>
      </c>
      <c r="H138" s="84">
        <f t="shared" si="1"/>
        <v>50</v>
      </c>
      <c r="I138" s="76" t="str">
        <f t="shared" si="2"/>
        <v>noviembre</v>
      </c>
      <c r="J138" s="76">
        <f t="shared" si="3"/>
        <v>2025</v>
      </c>
    </row>
    <row r="139" ht="22.5" customHeight="1">
      <c r="A139" s="69">
        <v>45983.0</v>
      </c>
      <c r="B139" s="70" t="s">
        <v>61</v>
      </c>
      <c r="C139" s="70" t="s">
        <v>140</v>
      </c>
      <c r="D139" s="70" t="s">
        <v>141</v>
      </c>
      <c r="E139" s="84">
        <f t="array" ref="E139">XLOOKUP($D139,concepto_salarios,monto_salarios,0)</f>
        <v>250</v>
      </c>
      <c r="F139" s="72">
        <v>0.0</v>
      </c>
      <c r="G139" s="74">
        <v>0.0</v>
      </c>
      <c r="H139" s="84">
        <f t="shared" si="1"/>
        <v>250</v>
      </c>
      <c r="I139" s="76" t="str">
        <f t="shared" si="2"/>
        <v>noviembre</v>
      </c>
      <c r="J139" s="76">
        <f t="shared" si="3"/>
        <v>2025</v>
      </c>
    </row>
    <row r="140" ht="22.5" customHeight="1">
      <c r="A140" s="69">
        <v>45983.0</v>
      </c>
      <c r="B140" s="70" t="s">
        <v>61</v>
      </c>
      <c r="C140" s="70" t="s">
        <v>140</v>
      </c>
      <c r="D140" s="70" t="s">
        <v>145</v>
      </c>
      <c r="E140" s="84">
        <f t="array" ref="E140">XLOOKUP($D140,concepto_salarios,monto_salarios,0)</f>
        <v>350</v>
      </c>
      <c r="F140" s="72">
        <v>0.0</v>
      </c>
      <c r="G140" s="74">
        <v>0.0</v>
      </c>
      <c r="H140" s="84">
        <f t="shared" si="1"/>
        <v>350</v>
      </c>
      <c r="I140" s="76" t="str">
        <f t="shared" si="2"/>
        <v>noviembre</v>
      </c>
      <c r="J140" s="76">
        <f t="shared" si="3"/>
        <v>2025</v>
      </c>
    </row>
    <row r="141" ht="22.5" customHeight="1">
      <c r="A141" s="69">
        <v>45983.0</v>
      </c>
      <c r="B141" s="70" t="s">
        <v>41</v>
      </c>
      <c r="C141" s="70" t="s">
        <v>142</v>
      </c>
      <c r="D141" s="70" t="s">
        <v>187</v>
      </c>
      <c r="E141" s="84">
        <f t="array" ref="E141">XLOOKUP($D141,concepto_salarios,monto_salarios,0)</f>
        <v>720</v>
      </c>
      <c r="F141" s="72">
        <v>0.0</v>
      </c>
      <c r="G141" s="74">
        <v>0.0</v>
      </c>
      <c r="H141" s="84">
        <f t="shared" si="1"/>
        <v>720</v>
      </c>
      <c r="I141" s="76" t="str">
        <f t="shared" si="2"/>
        <v>noviembre</v>
      </c>
      <c r="J141" s="76">
        <f t="shared" si="3"/>
        <v>2025</v>
      </c>
    </row>
    <row r="142" ht="22.5" customHeight="1">
      <c r="A142" s="69">
        <v>45983.0</v>
      </c>
      <c r="B142" s="70" t="s">
        <v>41</v>
      </c>
      <c r="C142" s="70" t="s">
        <v>148</v>
      </c>
      <c r="D142" s="70" t="s">
        <v>210</v>
      </c>
      <c r="E142" s="84">
        <f t="array" ref="E142">XLOOKUP($D142,concepto_salarios,monto_salarios,0)</f>
        <v>150</v>
      </c>
      <c r="F142" s="72">
        <v>50.0</v>
      </c>
      <c r="G142" s="74">
        <v>0.0</v>
      </c>
      <c r="H142" s="84">
        <f t="shared" si="1"/>
        <v>100</v>
      </c>
      <c r="I142" s="76" t="str">
        <f t="shared" si="2"/>
        <v>noviembre</v>
      </c>
      <c r="J142" s="76">
        <f t="shared" si="3"/>
        <v>2025</v>
      </c>
    </row>
    <row r="143" ht="22.5" customHeight="1">
      <c r="A143" s="69">
        <v>45983.0</v>
      </c>
      <c r="B143" s="70" t="s">
        <v>41</v>
      </c>
      <c r="C143" s="70" t="s">
        <v>148</v>
      </c>
      <c r="D143" s="70" t="s">
        <v>205</v>
      </c>
      <c r="E143" s="84">
        <f t="array" ref="E143">XLOOKUP($D143,concepto_salarios,monto_salarios,0)</f>
        <v>375</v>
      </c>
      <c r="F143" s="72">
        <v>125.0</v>
      </c>
      <c r="G143" s="74">
        <v>0.0</v>
      </c>
      <c r="H143" s="84">
        <f t="shared" si="1"/>
        <v>250</v>
      </c>
      <c r="I143" s="76" t="str">
        <f t="shared" si="2"/>
        <v>noviembre</v>
      </c>
      <c r="J143" s="76">
        <f t="shared" si="3"/>
        <v>2025</v>
      </c>
    </row>
    <row r="144" ht="22.5" customHeight="1">
      <c r="A144" s="69">
        <v>45983.0</v>
      </c>
      <c r="B144" s="70" t="s">
        <v>70</v>
      </c>
      <c r="C144" s="70" t="s">
        <v>143</v>
      </c>
      <c r="D144" s="70" t="s">
        <v>165</v>
      </c>
      <c r="E144" s="84">
        <f t="array" ref="E144">XLOOKUP($D144,concepto_salarios,monto_salarios,0)</f>
        <v>90</v>
      </c>
      <c r="F144" s="72">
        <v>0.0</v>
      </c>
      <c r="G144" s="74">
        <v>0.0</v>
      </c>
      <c r="H144" s="84">
        <f t="shared" si="1"/>
        <v>90</v>
      </c>
      <c r="I144" s="76" t="str">
        <f t="shared" si="2"/>
        <v>noviembre</v>
      </c>
      <c r="J144" s="76">
        <f t="shared" si="3"/>
        <v>2025</v>
      </c>
    </row>
    <row r="145" ht="22.5" customHeight="1">
      <c r="A145" s="69">
        <v>45983.0</v>
      </c>
      <c r="B145" s="70" t="s">
        <v>70</v>
      </c>
      <c r="C145" s="70" t="s">
        <v>143</v>
      </c>
      <c r="D145" s="70" t="s">
        <v>212</v>
      </c>
      <c r="E145" s="84">
        <f t="array" ref="E145">XLOOKUP($D145,concepto_salarios,monto_salarios,0)</f>
        <v>50</v>
      </c>
      <c r="F145" s="72">
        <v>0.0</v>
      </c>
      <c r="G145" s="74">
        <v>0.0</v>
      </c>
      <c r="H145" s="84">
        <f t="shared" si="1"/>
        <v>50</v>
      </c>
      <c r="I145" s="76" t="str">
        <f t="shared" si="2"/>
        <v>noviembre</v>
      </c>
      <c r="J145" s="76">
        <f t="shared" si="3"/>
        <v>2025</v>
      </c>
    </row>
    <row r="146" ht="22.5" customHeight="1">
      <c r="A146" s="69">
        <v>45983.0</v>
      </c>
      <c r="B146" s="70" t="s">
        <v>70</v>
      </c>
      <c r="C146" s="70" t="s">
        <v>140</v>
      </c>
      <c r="D146" s="70" t="s">
        <v>141</v>
      </c>
      <c r="E146" s="84">
        <f t="array" ref="E146">XLOOKUP($D146,concepto_salarios,monto_salarios,0)</f>
        <v>250</v>
      </c>
      <c r="F146" s="72">
        <v>0.0</v>
      </c>
      <c r="G146" s="74">
        <v>0.0</v>
      </c>
      <c r="H146" s="84">
        <f t="shared" si="1"/>
        <v>250</v>
      </c>
      <c r="I146" s="76" t="str">
        <f t="shared" si="2"/>
        <v>noviembre</v>
      </c>
      <c r="J146" s="76">
        <f t="shared" si="3"/>
        <v>2025</v>
      </c>
    </row>
    <row r="147" ht="22.5" customHeight="1">
      <c r="A147" s="69">
        <v>45983.0</v>
      </c>
      <c r="B147" s="70" t="s">
        <v>70</v>
      </c>
      <c r="C147" s="70" t="s">
        <v>140</v>
      </c>
      <c r="D147" s="70" t="s">
        <v>144</v>
      </c>
      <c r="E147" s="84">
        <f t="array" ref="E147">XLOOKUP($D147,concepto_salarios,monto_salarios,0)</f>
        <v>150</v>
      </c>
      <c r="F147" s="72">
        <v>0.0</v>
      </c>
      <c r="G147" s="74">
        <v>0.0</v>
      </c>
      <c r="H147" s="84">
        <f t="shared" si="1"/>
        <v>150</v>
      </c>
      <c r="I147" s="76" t="str">
        <f t="shared" si="2"/>
        <v>noviembre</v>
      </c>
      <c r="J147" s="76">
        <f t="shared" si="3"/>
        <v>2025</v>
      </c>
    </row>
    <row r="148" ht="22.5" customHeight="1">
      <c r="A148" s="69">
        <v>45983.0</v>
      </c>
      <c r="B148" s="70" t="s">
        <v>70</v>
      </c>
      <c r="C148" s="70" t="s">
        <v>163</v>
      </c>
      <c r="D148" s="70" t="s">
        <v>203</v>
      </c>
      <c r="E148" s="84">
        <f t="array" ref="E148">XLOOKUP($D148,concepto_salarios,monto_salarios,0)</f>
        <v>250</v>
      </c>
      <c r="F148" s="72">
        <v>0.0</v>
      </c>
      <c r="G148" s="74">
        <v>0.0</v>
      </c>
      <c r="H148" s="84">
        <f t="shared" si="1"/>
        <v>250</v>
      </c>
      <c r="I148" s="76" t="str">
        <f t="shared" si="2"/>
        <v>noviembre</v>
      </c>
      <c r="J148" s="76">
        <f t="shared" si="3"/>
        <v>2025</v>
      </c>
    </row>
    <row r="149" ht="22.5" customHeight="1">
      <c r="A149" s="69">
        <v>45983.0</v>
      </c>
      <c r="B149" s="70" t="s">
        <v>81</v>
      </c>
      <c r="C149" s="70" t="s">
        <v>143</v>
      </c>
      <c r="D149" s="70" t="s">
        <v>211</v>
      </c>
      <c r="E149" s="84">
        <f t="array" ref="E149">XLOOKUP($D149,concepto_salarios,monto_salarios,0)</f>
        <v>45</v>
      </c>
      <c r="F149" s="72">
        <v>0.0</v>
      </c>
      <c r="G149" s="74">
        <v>0.0</v>
      </c>
      <c r="H149" s="84">
        <f t="shared" si="1"/>
        <v>45</v>
      </c>
      <c r="I149" s="76" t="str">
        <f t="shared" si="2"/>
        <v>noviembre</v>
      </c>
      <c r="J149" s="76">
        <f t="shared" si="3"/>
        <v>2025</v>
      </c>
    </row>
    <row r="150" ht="22.5" customHeight="1">
      <c r="A150" s="69">
        <v>45983.0</v>
      </c>
      <c r="B150" s="70" t="s">
        <v>81</v>
      </c>
      <c r="C150" s="70" t="s">
        <v>140</v>
      </c>
      <c r="D150" s="70" t="s">
        <v>144</v>
      </c>
      <c r="E150" s="84">
        <f t="array" ref="E150">XLOOKUP($D150,concepto_salarios,monto_salarios,0)</f>
        <v>150</v>
      </c>
      <c r="F150" s="72">
        <v>0.0</v>
      </c>
      <c r="G150" s="74">
        <v>0.0</v>
      </c>
      <c r="H150" s="84">
        <f t="shared" si="1"/>
        <v>150</v>
      </c>
      <c r="I150" s="76" t="str">
        <f t="shared" si="2"/>
        <v>noviembre</v>
      </c>
      <c r="J150" s="76">
        <f t="shared" si="3"/>
        <v>2025</v>
      </c>
    </row>
    <row r="151" ht="22.5" customHeight="1">
      <c r="A151" s="69">
        <v>45983.0</v>
      </c>
      <c r="B151" s="70" t="s">
        <v>81</v>
      </c>
      <c r="C151" s="70" t="s">
        <v>163</v>
      </c>
      <c r="D151" s="70" t="s">
        <v>164</v>
      </c>
      <c r="E151" s="84">
        <f t="array" ref="E151">XLOOKUP($D151,concepto_salarios,monto_salarios,0)</f>
        <v>100</v>
      </c>
      <c r="F151" s="72">
        <v>0.0</v>
      </c>
      <c r="G151" s="74">
        <v>0.0</v>
      </c>
      <c r="H151" s="84">
        <f t="shared" si="1"/>
        <v>100</v>
      </c>
      <c r="I151" s="76" t="str">
        <f t="shared" si="2"/>
        <v>noviembre</v>
      </c>
      <c r="J151" s="76">
        <f t="shared" si="3"/>
        <v>2025</v>
      </c>
    </row>
    <row r="152" ht="22.5" customHeight="1">
      <c r="A152" s="69">
        <v>45983.0</v>
      </c>
      <c r="B152" s="70" t="s">
        <v>81</v>
      </c>
      <c r="C152" s="70" t="s">
        <v>163</v>
      </c>
      <c r="D152" s="70" t="s">
        <v>213</v>
      </c>
      <c r="E152" s="84">
        <f t="array" ref="E152">XLOOKUP($D152,concepto_salarios,monto_salarios,0)</f>
        <v>60</v>
      </c>
      <c r="F152" s="72">
        <v>0.0</v>
      </c>
      <c r="G152" s="74">
        <v>0.0</v>
      </c>
      <c r="H152" s="84">
        <f t="shared" si="1"/>
        <v>60</v>
      </c>
      <c r="I152" s="76" t="str">
        <f t="shared" si="2"/>
        <v>noviembre</v>
      </c>
      <c r="J152" s="76">
        <f t="shared" si="3"/>
        <v>2025</v>
      </c>
    </row>
    <row r="153" ht="22.5" customHeight="1">
      <c r="A153" s="69">
        <v>45983.0</v>
      </c>
      <c r="B153" s="70" t="s">
        <v>66</v>
      </c>
      <c r="C153" s="70" t="s">
        <v>142</v>
      </c>
      <c r="D153" s="70" t="s">
        <v>190</v>
      </c>
      <c r="E153" s="84">
        <f t="array" ref="E153">XLOOKUP($D153,concepto_salarios,monto_salarios,0)</f>
        <v>870</v>
      </c>
      <c r="F153" s="72">
        <v>0.0</v>
      </c>
      <c r="G153" s="74">
        <v>0.0</v>
      </c>
      <c r="H153" s="84">
        <f t="shared" si="1"/>
        <v>870</v>
      </c>
      <c r="I153" s="76" t="str">
        <f t="shared" si="2"/>
        <v>noviembre</v>
      </c>
      <c r="J153" s="76">
        <f t="shared" si="3"/>
        <v>2025</v>
      </c>
    </row>
    <row r="154" ht="22.5" customHeight="1">
      <c r="A154" s="69">
        <v>45983.0</v>
      </c>
      <c r="B154" s="70" t="s">
        <v>66</v>
      </c>
      <c r="C154" s="70" t="s">
        <v>148</v>
      </c>
      <c r="D154" s="70" t="s">
        <v>210</v>
      </c>
      <c r="E154" s="84">
        <f t="array" ref="E154">XLOOKUP($D154,concepto_salarios,monto_salarios,0)</f>
        <v>150</v>
      </c>
      <c r="F154" s="72">
        <v>50.0</v>
      </c>
      <c r="G154" s="74">
        <v>0.0</v>
      </c>
      <c r="H154" s="84">
        <f t="shared" si="1"/>
        <v>100</v>
      </c>
      <c r="I154" s="76" t="str">
        <f t="shared" si="2"/>
        <v>noviembre</v>
      </c>
      <c r="J154" s="76">
        <f t="shared" si="3"/>
        <v>2025</v>
      </c>
    </row>
    <row r="155" ht="22.5" customHeight="1">
      <c r="A155" s="69">
        <v>45983.0</v>
      </c>
      <c r="B155" s="70" t="s">
        <v>66</v>
      </c>
      <c r="C155" s="70" t="s">
        <v>148</v>
      </c>
      <c r="D155" s="70" t="s">
        <v>205</v>
      </c>
      <c r="E155" s="84">
        <f t="array" ref="E155">XLOOKUP($D155,concepto_salarios,monto_salarios,0)</f>
        <v>375</v>
      </c>
      <c r="F155" s="72">
        <v>125.0</v>
      </c>
      <c r="G155" s="74">
        <v>0.0</v>
      </c>
      <c r="H155" s="84">
        <f t="shared" si="1"/>
        <v>250</v>
      </c>
      <c r="I155" s="76" t="str">
        <f t="shared" si="2"/>
        <v>noviembre</v>
      </c>
      <c r="J155" s="76">
        <f t="shared" si="3"/>
        <v>2025</v>
      </c>
    </row>
    <row r="156" ht="22.5" customHeight="1">
      <c r="A156" s="69">
        <v>45983.0</v>
      </c>
      <c r="B156" s="70" t="s">
        <v>56</v>
      </c>
      <c r="C156" s="70" t="s">
        <v>143</v>
      </c>
      <c r="D156" s="70" t="s">
        <v>214</v>
      </c>
      <c r="E156" s="84">
        <f t="array" ref="E156">XLOOKUP($D156,concepto_salarios,monto_salarios,0)</f>
        <v>100</v>
      </c>
      <c r="F156" s="72">
        <v>0.0</v>
      </c>
      <c r="G156" s="74">
        <v>0.0</v>
      </c>
      <c r="H156" s="84">
        <f t="shared" si="1"/>
        <v>100</v>
      </c>
      <c r="I156" s="76" t="str">
        <f t="shared" si="2"/>
        <v>noviembre</v>
      </c>
      <c r="J156" s="76">
        <f t="shared" si="3"/>
        <v>2025</v>
      </c>
    </row>
    <row r="157" ht="22.5" customHeight="1">
      <c r="A157" s="69">
        <v>45983.0</v>
      </c>
      <c r="B157" s="70" t="s">
        <v>56</v>
      </c>
      <c r="C157" s="70" t="s">
        <v>143</v>
      </c>
      <c r="D157" s="70" t="s">
        <v>215</v>
      </c>
      <c r="E157" s="84">
        <f t="array" ref="E157">XLOOKUP($D157,concepto_salarios,monto_salarios,0)</f>
        <v>90</v>
      </c>
      <c r="F157" s="72">
        <v>0.0</v>
      </c>
      <c r="G157" s="74">
        <v>0.0</v>
      </c>
      <c r="H157" s="84">
        <f t="shared" si="1"/>
        <v>90</v>
      </c>
      <c r="I157" s="76" t="str">
        <f t="shared" si="2"/>
        <v>noviembre</v>
      </c>
      <c r="J157" s="76">
        <f t="shared" si="3"/>
        <v>2025</v>
      </c>
    </row>
    <row r="158" ht="22.5" customHeight="1">
      <c r="A158" s="69">
        <v>45983.0</v>
      </c>
      <c r="B158" s="70" t="s">
        <v>56</v>
      </c>
      <c r="C158" s="70" t="s">
        <v>143</v>
      </c>
      <c r="D158" s="70" t="s">
        <v>216</v>
      </c>
      <c r="E158" s="84">
        <f t="array" ref="E158">XLOOKUP($D158,concepto_salarios,monto_salarios,0)</f>
        <v>100</v>
      </c>
      <c r="F158" s="72">
        <v>0.0</v>
      </c>
      <c r="G158" s="74">
        <v>0.0</v>
      </c>
      <c r="H158" s="84">
        <f t="shared" si="1"/>
        <v>100</v>
      </c>
      <c r="I158" s="76" t="str">
        <f t="shared" si="2"/>
        <v>noviembre</v>
      </c>
      <c r="J158" s="76">
        <f t="shared" si="3"/>
        <v>2025</v>
      </c>
    </row>
    <row r="159" ht="22.5" customHeight="1">
      <c r="A159" s="69">
        <v>45983.0</v>
      </c>
      <c r="B159" s="70" t="s">
        <v>56</v>
      </c>
      <c r="C159" s="70" t="s">
        <v>142</v>
      </c>
      <c r="D159" s="70" t="s">
        <v>208</v>
      </c>
      <c r="E159" s="84">
        <f t="array" ref="E159">XLOOKUP($D159,concepto_salarios,monto_salarios,0)</f>
        <v>504</v>
      </c>
      <c r="F159" s="72">
        <v>202.0</v>
      </c>
      <c r="G159" s="74">
        <v>0.0</v>
      </c>
      <c r="H159" s="84">
        <f t="shared" si="1"/>
        <v>302</v>
      </c>
      <c r="I159" s="76" t="str">
        <f t="shared" si="2"/>
        <v>noviembre</v>
      </c>
      <c r="J159" s="76">
        <f t="shared" si="3"/>
        <v>2025</v>
      </c>
    </row>
    <row r="160" ht="22.5" customHeight="1">
      <c r="A160" s="69">
        <v>45983.0</v>
      </c>
      <c r="B160" s="70" t="s">
        <v>56</v>
      </c>
      <c r="C160" s="70" t="s">
        <v>148</v>
      </c>
      <c r="D160" s="70" t="s">
        <v>186</v>
      </c>
      <c r="E160" s="84">
        <f t="array" ref="E160">XLOOKUP($D160,concepto_salarios,monto_salarios,0)</f>
        <v>375</v>
      </c>
      <c r="F160" s="72">
        <v>0.0</v>
      </c>
      <c r="G160" s="74">
        <v>0.0</v>
      </c>
      <c r="H160" s="84">
        <f t="shared" si="1"/>
        <v>375</v>
      </c>
      <c r="I160" s="76" t="str">
        <f t="shared" si="2"/>
        <v>noviembre</v>
      </c>
      <c r="J160" s="76">
        <f t="shared" si="3"/>
        <v>2025</v>
      </c>
    </row>
    <row r="161" ht="22.5" customHeight="1">
      <c r="A161" s="69">
        <v>45983.0</v>
      </c>
      <c r="B161" s="70" t="s">
        <v>56</v>
      </c>
      <c r="C161" s="70" t="s">
        <v>148</v>
      </c>
      <c r="D161" s="70" t="s">
        <v>209</v>
      </c>
      <c r="E161" s="84">
        <f t="array" ref="E161">XLOOKUP($D161,concepto_salarios,monto_salarios,0)</f>
        <v>150</v>
      </c>
      <c r="F161" s="72">
        <v>0.0</v>
      </c>
      <c r="G161" s="74">
        <v>0.0</v>
      </c>
      <c r="H161" s="84">
        <f t="shared" si="1"/>
        <v>150</v>
      </c>
      <c r="I161" s="76" t="str">
        <f t="shared" si="2"/>
        <v>noviembre</v>
      </c>
      <c r="J161" s="76">
        <f t="shared" si="3"/>
        <v>2025</v>
      </c>
    </row>
    <row r="162" ht="22.5" customHeight="1">
      <c r="A162" s="69">
        <v>45984.0</v>
      </c>
      <c r="B162" s="70" t="s">
        <v>46</v>
      </c>
      <c r="C162" s="70" t="s">
        <v>143</v>
      </c>
      <c r="D162" s="70" t="s">
        <v>217</v>
      </c>
      <c r="E162" s="84">
        <f t="array" ref="E162">XLOOKUP($D162,concepto_salarios,monto_salarios,0)</f>
        <v>100</v>
      </c>
      <c r="F162" s="72">
        <v>0.0</v>
      </c>
      <c r="G162" s="74">
        <v>0.0</v>
      </c>
      <c r="H162" s="84">
        <f t="shared" si="1"/>
        <v>100</v>
      </c>
      <c r="I162" s="76" t="str">
        <f t="shared" si="2"/>
        <v>noviembre</v>
      </c>
      <c r="J162" s="76">
        <f t="shared" si="3"/>
        <v>2025</v>
      </c>
    </row>
    <row r="163" ht="22.5" customHeight="1">
      <c r="A163" s="69">
        <v>45984.0</v>
      </c>
      <c r="B163" s="70" t="s">
        <v>41</v>
      </c>
      <c r="C163" s="70" t="s">
        <v>143</v>
      </c>
      <c r="D163" s="70" t="s">
        <v>197</v>
      </c>
      <c r="E163" s="84">
        <f t="array" ref="E163">XLOOKUP($D163,concepto_salarios,monto_salarios,0)</f>
        <v>100</v>
      </c>
      <c r="F163" s="72">
        <v>0.0</v>
      </c>
      <c r="G163" s="74">
        <v>0.0</v>
      </c>
      <c r="H163" s="84">
        <f t="shared" si="1"/>
        <v>100</v>
      </c>
      <c r="I163" s="76" t="str">
        <f t="shared" si="2"/>
        <v>noviembre</v>
      </c>
      <c r="J163" s="76">
        <f t="shared" si="3"/>
        <v>2025</v>
      </c>
    </row>
    <row r="164" ht="22.5" customHeight="1">
      <c r="A164" s="69">
        <v>45984.0</v>
      </c>
      <c r="B164" s="70" t="s">
        <v>41</v>
      </c>
      <c r="C164" s="70" t="s">
        <v>143</v>
      </c>
      <c r="D164" s="70" t="s">
        <v>188</v>
      </c>
      <c r="E164" s="84">
        <f t="array" ref="E164">XLOOKUP($D164,concepto_salarios,monto_salarios,0)</f>
        <v>90</v>
      </c>
      <c r="F164" s="72">
        <v>0.0</v>
      </c>
      <c r="G164" s="74">
        <v>0.0</v>
      </c>
      <c r="H164" s="84">
        <f t="shared" si="1"/>
        <v>90</v>
      </c>
      <c r="I164" s="76" t="str">
        <f t="shared" si="2"/>
        <v>noviembre</v>
      </c>
      <c r="J164" s="76">
        <f t="shared" si="3"/>
        <v>2025</v>
      </c>
    </row>
    <row r="165" ht="22.5" customHeight="1">
      <c r="A165" s="69">
        <v>45984.0</v>
      </c>
      <c r="B165" s="70" t="s">
        <v>41</v>
      </c>
      <c r="C165" s="70" t="s">
        <v>140</v>
      </c>
      <c r="D165" s="70" t="s">
        <v>198</v>
      </c>
      <c r="E165" s="84">
        <f t="array" ref="E165">XLOOKUP($D165,concepto_salarios,monto_salarios,0)</f>
        <v>200</v>
      </c>
      <c r="F165" s="72">
        <v>0.0</v>
      </c>
      <c r="G165" s="74">
        <v>0.0</v>
      </c>
      <c r="H165" s="84">
        <f t="shared" si="1"/>
        <v>200</v>
      </c>
      <c r="I165" s="76" t="str">
        <f t="shared" si="2"/>
        <v>noviembre</v>
      </c>
      <c r="J165" s="76">
        <f t="shared" si="3"/>
        <v>2025</v>
      </c>
    </row>
    <row r="166" ht="22.5" customHeight="1">
      <c r="A166" s="69">
        <v>45984.0</v>
      </c>
      <c r="B166" s="70" t="s">
        <v>41</v>
      </c>
      <c r="C166" s="70" t="s">
        <v>143</v>
      </c>
      <c r="D166" s="70" t="s">
        <v>218</v>
      </c>
      <c r="E166" s="84">
        <f t="array" ref="E166">XLOOKUP($D166,concepto_salarios,monto_salarios,0)</f>
        <v>100</v>
      </c>
      <c r="F166" s="72">
        <v>0.0</v>
      </c>
      <c r="G166" s="74">
        <v>0.0</v>
      </c>
      <c r="H166" s="84">
        <f t="shared" si="1"/>
        <v>100</v>
      </c>
      <c r="I166" s="76" t="str">
        <f t="shared" si="2"/>
        <v>noviembre</v>
      </c>
      <c r="J166" s="76">
        <f t="shared" si="3"/>
        <v>2025</v>
      </c>
    </row>
    <row r="167" ht="22.5" customHeight="1">
      <c r="A167" s="69">
        <v>45984.0</v>
      </c>
      <c r="B167" s="70" t="s">
        <v>41</v>
      </c>
      <c r="C167" s="70" t="s">
        <v>140</v>
      </c>
      <c r="D167" s="70" t="s">
        <v>141</v>
      </c>
      <c r="E167" s="84">
        <f t="array" ref="E167">XLOOKUP($D167,concepto_salarios,monto_salarios,0)</f>
        <v>250</v>
      </c>
      <c r="F167" s="72">
        <v>0.0</v>
      </c>
      <c r="G167" s="74">
        <v>0.0</v>
      </c>
      <c r="H167" s="84">
        <f t="shared" si="1"/>
        <v>250</v>
      </c>
      <c r="I167" s="76" t="str">
        <f t="shared" si="2"/>
        <v>noviembre</v>
      </c>
      <c r="J167" s="76">
        <f t="shared" si="3"/>
        <v>2025</v>
      </c>
    </row>
    <row r="168" ht="22.5" customHeight="1">
      <c r="A168" s="69">
        <v>45984.0</v>
      </c>
      <c r="B168" s="70" t="s">
        <v>41</v>
      </c>
      <c r="C168" s="70" t="s">
        <v>163</v>
      </c>
      <c r="D168" s="70" t="s">
        <v>219</v>
      </c>
      <c r="E168" s="84">
        <f t="array" ref="E168">XLOOKUP($D168,concepto_salarios,monto_salarios,0)</f>
        <v>60</v>
      </c>
      <c r="F168" s="72">
        <v>0.0</v>
      </c>
      <c r="G168" s="74">
        <v>0.0</v>
      </c>
      <c r="H168" s="84">
        <f t="shared" si="1"/>
        <v>60</v>
      </c>
      <c r="I168" s="76" t="str">
        <f t="shared" si="2"/>
        <v>noviembre</v>
      </c>
      <c r="J168" s="76">
        <f t="shared" si="3"/>
        <v>2025</v>
      </c>
    </row>
    <row r="169" ht="22.5" customHeight="1">
      <c r="A169" s="69">
        <v>45984.0</v>
      </c>
      <c r="B169" s="70" t="s">
        <v>41</v>
      </c>
      <c r="C169" s="70" t="s">
        <v>163</v>
      </c>
      <c r="D169" s="70" t="s">
        <v>220</v>
      </c>
      <c r="E169" s="84">
        <f t="array" ref="E169">XLOOKUP($D169,concepto_salarios,monto_salarios,0)</f>
        <v>150</v>
      </c>
      <c r="F169" s="72">
        <v>0.0</v>
      </c>
      <c r="G169" s="74">
        <v>0.0</v>
      </c>
      <c r="H169" s="84">
        <f t="shared" si="1"/>
        <v>150</v>
      </c>
      <c r="I169" s="76" t="str">
        <f t="shared" si="2"/>
        <v>noviembre</v>
      </c>
      <c r="J169" s="76">
        <f t="shared" si="3"/>
        <v>2025</v>
      </c>
    </row>
    <row r="170" ht="22.5" customHeight="1">
      <c r="A170" s="69">
        <v>45984.0</v>
      </c>
      <c r="B170" s="70" t="s">
        <v>70</v>
      </c>
      <c r="C170" s="70" t="s">
        <v>143</v>
      </c>
      <c r="D170" s="70" t="s">
        <v>197</v>
      </c>
      <c r="E170" s="84">
        <f t="array" ref="E170">XLOOKUP($D170,concepto_salarios,monto_salarios,0)</f>
        <v>100</v>
      </c>
      <c r="F170" s="72">
        <v>0.0</v>
      </c>
      <c r="G170" s="74">
        <v>0.0</v>
      </c>
      <c r="H170" s="84">
        <f t="shared" si="1"/>
        <v>100</v>
      </c>
      <c r="I170" s="76" t="str">
        <f t="shared" si="2"/>
        <v>noviembre</v>
      </c>
      <c r="J170" s="76">
        <f t="shared" si="3"/>
        <v>2025</v>
      </c>
    </row>
    <row r="171" ht="22.5" customHeight="1">
      <c r="A171" s="69">
        <v>45984.0</v>
      </c>
      <c r="B171" s="70" t="s">
        <v>70</v>
      </c>
      <c r="C171" s="70" t="s">
        <v>143</v>
      </c>
      <c r="D171" s="70" t="s">
        <v>188</v>
      </c>
      <c r="E171" s="84">
        <f t="array" ref="E171">XLOOKUP($D171,concepto_salarios,monto_salarios,0)</f>
        <v>90</v>
      </c>
      <c r="F171" s="72">
        <v>0.0</v>
      </c>
      <c r="G171" s="74">
        <v>0.0</v>
      </c>
      <c r="H171" s="84">
        <f t="shared" si="1"/>
        <v>90</v>
      </c>
      <c r="I171" s="76" t="str">
        <f t="shared" si="2"/>
        <v>noviembre</v>
      </c>
      <c r="J171" s="76">
        <f t="shared" si="3"/>
        <v>2025</v>
      </c>
    </row>
    <row r="172" ht="22.5" customHeight="1">
      <c r="A172" s="69">
        <v>45984.0</v>
      </c>
      <c r="B172" s="70" t="s">
        <v>70</v>
      </c>
      <c r="C172" s="70" t="s">
        <v>140</v>
      </c>
      <c r="D172" s="70" t="s">
        <v>198</v>
      </c>
      <c r="E172" s="84">
        <f t="array" ref="E172">XLOOKUP($D172,concepto_salarios,monto_salarios,0)</f>
        <v>200</v>
      </c>
      <c r="F172" s="72">
        <v>0.0</v>
      </c>
      <c r="G172" s="74">
        <v>0.0</v>
      </c>
      <c r="H172" s="84">
        <f t="shared" si="1"/>
        <v>200</v>
      </c>
      <c r="I172" s="76" t="str">
        <f t="shared" si="2"/>
        <v>noviembre</v>
      </c>
      <c r="J172" s="76">
        <f t="shared" si="3"/>
        <v>2025</v>
      </c>
    </row>
    <row r="173" ht="22.5" customHeight="1">
      <c r="A173" s="69">
        <v>45984.0</v>
      </c>
      <c r="B173" s="70" t="s">
        <v>70</v>
      </c>
      <c r="C173" s="70" t="s">
        <v>143</v>
      </c>
      <c r="D173" s="70" t="s">
        <v>218</v>
      </c>
      <c r="E173" s="84">
        <f t="array" ref="E173">XLOOKUP($D173,concepto_salarios,monto_salarios,0)</f>
        <v>100</v>
      </c>
      <c r="F173" s="72">
        <v>0.0</v>
      </c>
      <c r="G173" s="74">
        <v>0.0</v>
      </c>
      <c r="H173" s="84">
        <f t="shared" si="1"/>
        <v>100</v>
      </c>
      <c r="I173" s="76" t="str">
        <f t="shared" si="2"/>
        <v>noviembre</v>
      </c>
      <c r="J173" s="76">
        <f t="shared" si="3"/>
        <v>2025</v>
      </c>
    </row>
    <row r="174" ht="22.5" customHeight="1">
      <c r="A174" s="69">
        <v>45984.0</v>
      </c>
      <c r="B174" s="70" t="s">
        <v>70</v>
      </c>
      <c r="C174" s="70" t="s">
        <v>140</v>
      </c>
      <c r="D174" s="70" t="s">
        <v>141</v>
      </c>
      <c r="E174" s="84">
        <f t="array" ref="E174">XLOOKUP($D174,concepto_salarios,monto_salarios,0)</f>
        <v>250</v>
      </c>
      <c r="F174" s="72">
        <v>0.0</v>
      </c>
      <c r="G174" s="74">
        <v>0.0</v>
      </c>
      <c r="H174" s="84">
        <f t="shared" si="1"/>
        <v>250</v>
      </c>
      <c r="I174" s="76" t="str">
        <f t="shared" si="2"/>
        <v>noviembre</v>
      </c>
      <c r="J174" s="76">
        <f t="shared" si="3"/>
        <v>2025</v>
      </c>
    </row>
    <row r="175" ht="22.5" customHeight="1">
      <c r="A175" s="69">
        <v>45984.0</v>
      </c>
      <c r="B175" s="70" t="s">
        <v>81</v>
      </c>
      <c r="C175" s="70" t="s">
        <v>140</v>
      </c>
      <c r="D175" s="70" t="s">
        <v>141</v>
      </c>
      <c r="E175" s="84">
        <f t="array" ref="E175">XLOOKUP($D175,concepto_salarios,monto_salarios,0)</f>
        <v>250</v>
      </c>
      <c r="F175" s="72">
        <v>0.0</v>
      </c>
      <c r="G175" s="74">
        <v>0.0</v>
      </c>
      <c r="H175" s="84">
        <f t="shared" si="1"/>
        <v>250</v>
      </c>
      <c r="I175" s="76" t="str">
        <f t="shared" si="2"/>
        <v>noviembre</v>
      </c>
      <c r="J175" s="76">
        <f t="shared" si="3"/>
        <v>2025</v>
      </c>
    </row>
    <row r="176" ht="22.5" customHeight="1">
      <c r="A176" s="69">
        <v>45989.0</v>
      </c>
      <c r="B176" s="70" t="s">
        <v>46</v>
      </c>
      <c r="C176" s="70" t="s">
        <v>148</v>
      </c>
      <c r="D176" s="70" t="s">
        <v>221</v>
      </c>
      <c r="E176" s="84">
        <f t="array" ref="E176">XLOOKUP($D176,concepto_salarios,monto_salarios,0)</f>
        <v>750</v>
      </c>
      <c r="F176" s="72">
        <v>125.0</v>
      </c>
      <c r="G176" s="74">
        <v>0.0</v>
      </c>
      <c r="H176" s="84">
        <f t="shared" si="1"/>
        <v>625</v>
      </c>
      <c r="I176" s="76" t="str">
        <f t="shared" si="2"/>
        <v>noviembre</v>
      </c>
      <c r="J176" s="76">
        <f t="shared" si="3"/>
        <v>2025</v>
      </c>
    </row>
    <row r="177" ht="22.5" customHeight="1">
      <c r="A177" s="69">
        <v>45989.0</v>
      </c>
      <c r="B177" s="70" t="s">
        <v>46</v>
      </c>
      <c r="C177" s="70" t="s">
        <v>140</v>
      </c>
      <c r="D177" s="70" t="s">
        <v>198</v>
      </c>
      <c r="E177" s="84">
        <f t="array" ref="E177">XLOOKUP($D177,concepto_salarios,monto_salarios,0)</f>
        <v>200</v>
      </c>
      <c r="F177" s="72">
        <v>0.0</v>
      </c>
      <c r="G177" s="74">
        <v>0.0</v>
      </c>
      <c r="H177" s="84">
        <f t="shared" si="1"/>
        <v>200</v>
      </c>
      <c r="I177" s="76" t="str">
        <f t="shared" si="2"/>
        <v>noviembre</v>
      </c>
      <c r="J177" s="76">
        <f t="shared" si="3"/>
        <v>2025</v>
      </c>
    </row>
    <row r="178" ht="22.5" customHeight="1">
      <c r="A178" s="69">
        <v>45989.0</v>
      </c>
      <c r="B178" s="70" t="s">
        <v>46</v>
      </c>
      <c r="C178" s="70" t="s">
        <v>143</v>
      </c>
      <c r="D178" s="70" t="s">
        <v>222</v>
      </c>
      <c r="E178" s="84">
        <f t="array" ref="E178">XLOOKUP($D178,concepto_salarios,monto_salarios,0)</f>
        <v>200</v>
      </c>
      <c r="F178" s="72">
        <v>0.0</v>
      </c>
      <c r="G178" s="74">
        <v>0.0</v>
      </c>
      <c r="H178" s="84">
        <f t="shared" si="1"/>
        <v>200</v>
      </c>
      <c r="I178" s="76" t="str">
        <f t="shared" si="2"/>
        <v>noviembre</v>
      </c>
      <c r="J178" s="76">
        <f t="shared" si="3"/>
        <v>2025</v>
      </c>
    </row>
    <row r="179" ht="22.5" customHeight="1">
      <c r="A179" s="69">
        <v>45989.0</v>
      </c>
      <c r="B179" s="70" t="s">
        <v>46</v>
      </c>
      <c r="C179" s="70" t="s">
        <v>142</v>
      </c>
      <c r="D179" s="70" t="s">
        <v>223</v>
      </c>
      <c r="E179" s="84">
        <f t="array" ref="E179">XLOOKUP($D179,concepto_salarios,monto_salarios,0)</f>
        <v>100</v>
      </c>
      <c r="F179" s="72">
        <v>0.0</v>
      </c>
      <c r="G179" s="74">
        <v>0.0</v>
      </c>
      <c r="H179" s="84">
        <f t="shared" si="1"/>
        <v>100</v>
      </c>
      <c r="I179" s="76" t="str">
        <f t="shared" si="2"/>
        <v>noviembre</v>
      </c>
      <c r="J179" s="76">
        <f t="shared" si="3"/>
        <v>2025</v>
      </c>
    </row>
    <row r="180" ht="22.5" customHeight="1">
      <c r="A180" s="69">
        <v>45989.0</v>
      </c>
      <c r="B180" s="70" t="s">
        <v>51</v>
      </c>
      <c r="C180" s="70" t="s">
        <v>142</v>
      </c>
      <c r="D180" s="70" t="s">
        <v>185</v>
      </c>
      <c r="E180" s="84">
        <f t="array" ref="E180">XLOOKUP($D180,concepto_salarios,monto_salarios,0)</f>
        <v>1080</v>
      </c>
      <c r="F180" s="72">
        <v>0.0</v>
      </c>
      <c r="G180" s="74">
        <v>0.0</v>
      </c>
      <c r="H180" s="84">
        <f t="shared" si="1"/>
        <v>1080</v>
      </c>
      <c r="I180" s="76" t="str">
        <f t="shared" si="2"/>
        <v>noviembre</v>
      </c>
      <c r="J180" s="76">
        <f t="shared" si="3"/>
        <v>2025</v>
      </c>
    </row>
    <row r="181" ht="22.5" customHeight="1">
      <c r="A181" s="69">
        <v>45989.0</v>
      </c>
      <c r="B181" s="70" t="s">
        <v>51</v>
      </c>
      <c r="C181" s="70" t="s">
        <v>148</v>
      </c>
      <c r="D181" s="70" t="s">
        <v>186</v>
      </c>
      <c r="E181" s="84">
        <f t="array" ref="E181">XLOOKUP($D181,concepto_salarios,monto_salarios,0)</f>
        <v>375</v>
      </c>
      <c r="F181" s="72">
        <v>125.0</v>
      </c>
      <c r="G181" s="74">
        <v>0.0</v>
      </c>
      <c r="H181" s="84">
        <f t="shared" si="1"/>
        <v>250</v>
      </c>
      <c r="I181" s="76" t="str">
        <f t="shared" si="2"/>
        <v>noviembre</v>
      </c>
      <c r="J181" s="76">
        <f t="shared" si="3"/>
        <v>2025</v>
      </c>
    </row>
    <row r="182" ht="22.5" customHeight="1">
      <c r="A182" s="69">
        <v>45989.0</v>
      </c>
      <c r="B182" s="70" t="s">
        <v>70</v>
      </c>
      <c r="C182" s="70" t="s">
        <v>142</v>
      </c>
      <c r="D182" s="70" t="s">
        <v>187</v>
      </c>
      <c r="E182" s="84">
        <f t="array" ref="E182">XLOOKUP($D182,concepto_salarios,monto_salarios,0)</f>
        <v>720</v>
      </c>
      <c r="F182" s="72">
        <v>150.0</v>
      </c>
      <c r="G182" s="74">
        <v>0.0</v>
      </c>
      <c r="H182" s="84">
        <f t="shared" si="1"/>
        <v>570</v>
      </c>
      <c r="I182" s="76" t="str">
        <f t="shared" si="2"/>
        <v>noviembre</v>
      </c>
      <c r="J182" s="76">
        <f t="shared" si="3"/>
        <v>2025</v>
      </c>
    </row>
    <row r="183" ht="22.5" customHeight="1">
      <c r="A183" s="69">
        <v>45989.0</v>
      </c>
      <c r="B183" s="70" t="s">
        <v>70</v>
      </c>
      <c r="C183" s="70" t="s">
        <v>163</v>
      </c>
      <c r="D183" s="70" t="s">
        <v>164</v>
      </c>
      <c r="E183" s="84">
        <f t="array" ref="E183">XLOOKUP($D183,concepto_salarios,monto_salarios,0)</f>
        <v>100</v>
      </c>
      <c r="F183" s="72">
        <v>0.0</v>
      </c>
      <c r="G183" s="74">
        <v>0.0</v>
      </c>
      <c r="H183" s="84">
        <f t="shared" si="1"/>
        <v>100</v>
      </c>
      <c r="I183" s="76" t="str">
        <f t="shared" si="2"/>
        <v>noviembre</v>
      </c>
      <c r="J183" s="76">
        <f t="shared" si="3"/>
        <v>2025</v>
      </c>
    </row>
    <row r="184" ht="22.5" customHeight="1">
      <c r="A184" s="69">
        <v>45989.0</v>
      </c>
      <c r="B184" s="70" t="s">
        <v>70</v>
      </c>
      <c r="C184" s="70" t="s">
        <v>163</v>
      </c>
      <c r="D184" s="70" t="s">
        <v>203</v>
      </c>
      <c r="E184" s="84">
        <f t="array" ref="E184">XLOOKUP($D184,concepto_salarios,monto_salarios,0)</f>
        <v>250</v>
      </c>
      <c r="F184" s="72">
        <v>0.0</v>
      </c>
      <c r="G184" s="74">
        <v>0.0</v>
      </c>
      <c r="H184" s="84">
        <f t="shared" si="1"/>
        <v>250</v>
      </c>
      <c r="I184" s="76" t="str">
        <f t="shared" si="2"/>
        <v>noviembre</v>
      </c>
      <c r="J184" s="76">
        <f t="shared" si="3"/>
        <v>2025</v>
      </c>
    </row>
    <row r="185" ht="22.5" customHeight="1">
      <c r="A185" s="69">
        <v>45989.0</v>
      </c>
      <c r="B185" s="70" t="s">
        <v>81</v>
      </c>
      <c r="C185" s="70" t="s">
        <v>140</v>
      </c>
      <c r="D185" s="70" t="s">
        <v>141</v>
      </c>
      <c r="E185" s="84">
        <f t="array" ref="E185">XLOOKUP($D185,concepto_salarios,monto_salarios,0)</f>
        <v>250</v>
      </c>
      <c r="F185" s="72">
        <v>0.0</v>
      </c>
      <c r="G185" s="74">
        <v>0.0</v>
      </c>
      <c r="H185" s="84">
        <f t="shared" si="1"/>
        <v>250</v>
      </c>
      <c r="I185" s="76" t="str">
        <f t="shared" si="2"/>
        <v>noviembre</v>
      </c>
      <c r="J185" s="76">
        <f t="shared" si="3"/>
        <v>2025</v>
      </c>
    </row>
    <row r="186" ht="22.5" customHeight="1">
      <c r="A186" s="69">
        <v>45989.0</v>
      </c>
      <c r="B186" s="70" t="s">
        <v>81</v>
      </c>
      <c r="C186" s="70" t="s">
        <v>163</v>
      </c>
      <c r="D186" s="70" t="s">
        <v>164</v>
      </c>
      <c r="E186" s="84">
        <f t="array" ref="E186">XLOOKUP($D186,concepto_salarios,monto_salarios,0)</f>
        <v>100</v>
      </c>
      <c r="F186" s="72">
        <v>0.0</v>
      </c>
      <c r="G186" s="74">
        <v>0.0</v>
      </c>
      <c r="H186" s="84">
        <f t="shared" si="1"/>
        <v>100</v>
      </c>
      <c r="I186" s="76" t="str">
        <f t="shared" si="2"/>
        <v>noviembre</v>
      </c>
      <c r="J186" s="76">
        <f t="shared" si="3"/>
        <v>2025</v>
      </c>
    </row>
    <row r="187" ht="22.5" customHeight="1">
      <c r="A187" s="69">
        <v>45989.0</v>
      </c>
      <c r="B187" s="70" t="s">
        <v>66</v>
      </c>
      <c r="C187" s="70" t="s">
        <v>142</v>
      </c>
      <c r="D187" s="70" t="s">
        <v>190</v>
      </c>
      <c r="E187" s="84">
        <f t="array" ref="E187">XLOOKUP($D187,concepto_salarios,monto_salarios,0)</f>
        <v>870</v>
      </c>
      <c r="F187" s="72">
        <v>150.0</v>
      </c>
      <c r="G187" s="74">
        <v>0.0</v>
      </c>
      <c r="H187" s="84">
        <f t="shared" si="1"/>
        <v>720</v>
      </c>
      <c r="I187" s="76" t="str">
        <f t="shared" si="2"/>
        <v>noviembre</v>
      </c>
      <c r="J187" s="76">
        <f t="shared" si="3"/>
        <v>2025</v>
      </c>
    </row>
    <row r="188" ht="22.5" customHeight="1">
      <c r="A188" s="69">
        <v>45989.0</v>
      </c>
      <c r="B188" s="70" t="s">
        <v>56</v>
      </c>
      <c r="C188" s="70" t="s">
        <v>148</v>
      </c>
      <c r="D188" s="70" t="s">
        <v>186</v>
      </c>
      <c r="E188" s="84">
        <f t="array" ref="E188">XLOOKUP($D188,concepto_salarios,monto_salarios,0)</f>
        <v>375</v>
      </c>
      <c r="F188" s="72">
        <v>125.0</v>
      </c>
      <c r="G188" s="74">
        <v>0.0</v>
      </c>
      <c r="H188" s="84">
        <f t="shared" si="1"/>
        <v>250</v>
      </c>
      <c r="I188" s="76" t="str">
        <f t="shared" si="2"/>
        <v>noviembre</v>
      </c>
      <c r="J188" s="76">
        <f t="shared" si="3"/>
        <v>2025</v>
      </c>
    </row>
    <row r="189" ht="22.5" customHeight="1">
      <c r="A189" s="69">
        <v>45989.0</v>
      </c>
      <c r="B189" s="70" t="s">
        <v>56</v>
      </c>
      <c r="C189" s="70" t="s">
        <v>142</v>
      </c>
      <c r="D189" s="70" t="s">
        <v>223</v>
      </c>
      <c r="E189" s="84">
        <f t="array" ref="E189">XLOOKUP($D189,concepto_salarios,monto_salarios,0)</f>
        <v>100</v>
      </c>
      <c r="F189" s="72">
        <v>0.0</v>
      </c>
      <c r="G189" s="74">
        <v>0.0</v>
      </c>
      <c r="H189" s="84">
        <f t="shared" si="1"/>
        <v>100</v>
      </c>
      <c r="I189" s="76" t="str">
        <f t="shared" si="2"/>
        <v>noviembre</v>
      </c>
      <c r="J189" s="76">
        <f t="shared" si="3"/>
        <v>2025</v>
      </c>
    </row>
    <row r="190" ht="22.5" customHeight="1">
      <c r="A190" s="69">
        <v>45990.0</v>
      </c>
      <c r="B190" s="70" t="s">
        <v>76</v>
      </c>
      <c r="C190" s="70" t="s">
        <v>143</v>
      </c>
      <c r="D190" s="70" t="s">
        <v>166</v>
      </c>
      <c r="E190" s="84">
        <f t="array" ref="E190">XLOOKUP($D190,concepto_salarios,monto_salarios,0)</f>
        <v>90</v>
      </c>
      <c r="F190" s="72">
        <v>0.0</v>
      </c>
      <c r="G190" s="74">
        <v>0.0</v>
      </c>
      <c r="H190" s="84">
        <f t="shared" si="1"/>
        <v>90</v>
      </c>
      <c r="I190" s="76" t="str">
        <f t="shared" si="2"/>
        <v>noviembre</v>
      </c>
      <c r="J190" s="76">
        <f t="shared" si="3"/>
        <v>2025</v>
      </c>
    </row>
    <row r="191" ht="22.5" customHeight="1">
      <c r="A191" s="69">
        <v>45990.0</v>
      </c>
      <c r="B191" s="70" t="s">
        <v>76</v>
      </c>
      <c r="C191" s="70" t="s">
        <v>143</v>
      </c>
      <c r="D191" s="70" t="s">
        <v>218</v>
      </c>
      <c r="E191" s="84">
        <f t="array" ref="E191">XLOOKUP($D191,concepto_salarios,monto_salarios,0)</f>
        <v>100</v>
      </c>
      <c r="F191" s="72">
        <v>0.0</v>
      </c>
      <c r="G191" s="74">
        <v>0.0</v>
      </c>
      <c r="H191" s="84">
        <f t="shared" si="1"/>
        <v>100</v>
      </c>
      <c r="I191" s="76" t="str">
        <f t="shared" si="2"/>
        <v>noviembre</v>
      </c>
      <c r="J191" s="76">
        <f t="shared" si="3"/>
        <v>2025</v>
      </c>
    </row>
    <row r="192" ht="22.5" customHeight="1">
      <c r="A192" s="69">
        <v>45990.0</v>
      </c>
      <c r="B192" s="70" t="s">
        <v>76</v>
      </c>
      <c r="C192" s="70" t="s">
        <v>140</v>
      </c>
      <c r="D192" s="70" t="s">
        <v>146</v>
      </c>
      <c r="E192" s="84">
        <f t="array" ref="E192">XLOOKUP($D192,concepto_salarios,monto_salarios,0)</f>
        <v>450</v>
      </c>
      <c r="F192" s="72">
        <v>0.0</v>
      </c>
      <c r="G192" s="74">
        <v>0.0</v>
      </c>
      <c r="H192" s="84">
        <f t="shared" si="1"/>
        <v>450</v>
      </c>
      <c r="I192" s="76" t="str">
        <f t="shared" si="2"/>
        <v>noviembre</v>
      </c>
      <c r="J192" s="76">
        <f t="shared" si="3"/>
        <v>2025</v>
      </c>
    </row>
    <row r="193" ht="22.5" customHeight="1">
      <c r="A193" s="69">
        <v>45990.0</v>
      </c>
      <c r="B193" s="70" t="s">
        <v>76</v>
      </c>
      <c r="C193" s="70" t="s">
        <v>143</v>
      </c>
      <c r="D193" s="70" t="s">
        <v>193</v>
      </c>
      <c r="E193" s="84">
        <f t="array" ref="E193">XLOOKUP($D193,concepto_salarios,monto_salarios,0)</f>
        <v>45</v>
      </c>
      <c r="F193" s="72">
        <v>0.0</v>
      </c>
      <c r="G193" s="74">
        <v>0.0</v>
      </c>
      <c r="H193" s="84">
        <f t="shared" si="1"/>
        <v>45</v>
      </c>
      <c r="I193" s="76" t="str">
        <f t="shared" si="2"/>
        <v>noviembre</v>
      </c>
      <c r="J193" s="76">
        <f t="shared" si="3"/>
        <v>2025</v>
      </c>
    </row>
    <row r="194" ht="22.5" customHeight="1">
      <c r="A194" s="69">
        <v>45990.0</v>
      </c>
      <c r="B194" s="70" t="s">
        <v>46</v>
      </c>
      <c r="C194" s="70" t="s">
        <v>143</v>
      </c>
      <c r="D194" s="70" t="s">
        <v>172</v>
      </c>
      <c r="E194" s="84">
        <f t="array" ref="E194">XLOOKUP($D194,concepto_salarios,monto_salarios,0)</f>
        <v>90</v>
      </c>
      <c r="F194" s="72">
        <v>0.0</v>
      </c>
      <c r="G194" s="74">
        <v>0.0</v>
      </c>
      <c r="H194" s="84">
        <f t="shared" si="1"/>
        <v>90</v>
      </c>
      <c r="I194" s="76" t="str">
        <f t="shared" si="2"/>
        <v>noviembre</v>
      </c>
      <c r="J194" s="76">
        <f t="shared" si="3"/>
        <v>2025</v>
      </c>
    </row>
    <row r="195" ht="22.5" customHeight="1">
      <c r="A195" s="69">
        <v>45990.0</v>
      </c>
      <c r="B195" s="70" t="s">
        <v>46</v>
      </c>
      <c r="C195" s="70" t="s">
        <v>142</v>
      </c>
      <c r="D195" s="70" t="s">
        <v>224</v>
      </c>
      <c r="E195" s="84">
        <f t="array" ref="E195">XLOOKUP($D195,concepto_salarios,monto_salarios,0)</f>
        <v>336</v>
      </c>
      <c r="F195" s="72">
        <v>36.0</v>
      </c>
      <c r="G195" s="74">
        <v>0.0</v>
      </c>
      <c r="H195" s="84">
        <f t="shared" si="1"/>
        <v>300</v>
      </c>
      <c r="I195" s="76" t="str">
        <f t="shared" si="2"/>
        <v>noviembre</v>
      </c>
      <c r="J195" s="76">
        <f t="shared" si="3"/>
        <v>2025</v>
      </c>
    </row>
    <row r="196" ht="22.5" customHeight="1">
      <c r="A196" s="69">
        <v>45990.0</v>
      </c>
      <c r="B196" s="70" t="s">
        <v>51</v>
      </c>
      <c r="C196" s="70" t="s">
        <v>142</v>
      </c>
      <c r="D196" s="70" t="s">
        <v>200</v>
      </c>
      <c r="E196" s="84">
        <f t="array" ref="E196">XLOOKUP($D196,concepto_salarios,monto_salarios,0)</f>
        <v>990</v>
      </c>
      <c r="F196" s="72">
        <v>100.0</v>
      </c>
      <c r="G196" s="74">
        <v>0.0</v>
      </c>
      <c r="H196" s="84">
        <f t="shared" si="1"/>
        <v>890</v>
      </c>
      <c r="I196" s="76" t="str">
        <f t="shared" si="2"/>
        <v>noviembre</v>
      </c>
      <c r="J196" s="76">
        <f t="shared" si="3"/>
        <v>2025</v>
      </c>
    </row>
    <row r="197" ht="22.5" customHeight="1">
      <c r="A197" s="69">
        <v>45990.0</v>
      </c>
      <c r="B197" s="70" t="s">
        <v>73</v>
      </c>
      <c r="C197" s="70" t="s">
        <v>143</v>
      </c>
      <c r="D197" s="70" t="s">
        <v>166</v>
      </c>
      <c r="E197" s="84">
        <f t="array" ref="E197">XLOOKUP($D197,concepto_salarios,monto_salarios,0)</f>
        <v>90</v>
      </c>
      <c r="F197" s="72">
        <v>0.0</v>
      </c>
      <c r="G197" s="74">
        <v>0.0</v>
      </c>
      <c r="H197" s="84">
        <f t="shared" si="1"/>
        <v>90</v>
      </c>
      <c r="I197" s="76" t="str">
        <f t="shared" si="2"/>
        <v>noviembre</v>
      </c>
      <c r="J197" s="76">
        <f t="shared" si="3"/>
        <v>2025</v>
      </c>
    </row>
    <row r="198" ht="22.5" customHeight="1">
      <c r="A198" s="69">
        <v>45990.0</v>
      </c>
      <c r="B198" s="70" t="s">
        <v>73</v>
      </c>
      <c r="C198" s="70" t="s">
        <v>143</v>
      </c>
      <c r="D198" s="70" t="s">
        <v>218</v>
      </c>
      <c r="E198" s="84">
        <f t="array" ref="E198">XLOOKUP($D198,concepto_salarios,monto_salarios,0)</f>
        <v>100</v>
      </c>
      <c r="F198" s="72">
        <v>0.0</v>
      </c>
      <c r="G198" s="74">
        <v>0.0</v>
      </c>
      <c r="H198" s="84">
        <f t="shared" si="1"/>
        <v>100</v>
      </c>
      <c r="I198" s="76" t="str">
        <f t="shared" si="2"/>
        <v>noviembre</v>
      </c>
      <c r="J198" s="76">
        <f t="shared" si="3"/>
        <v>2025</v>
      </c>
    </row>
    <row r="199" ht="22.5" customHeight="1">
      <c r="A199" s="69">
        <v>45990.0</v>
      </c>
      <c r="B199" s="70" t="s">
        <v>73</v>
      </c>
      <c r="C199" s="70" t="s">
        <v>140</v>
      </c>
      <c r="D199" s="70" t="s">
        <v>146</v>
      </c>
      <c r="E199" s="84">
        <f t="array" ref="E199">XLOOKUP($D199,concepto_salarios,monto_salarios,0)</f>
        <v>450</v>
      </c>
      <c r="F199" s="72">
        <v>0.0</v>
      </c>
      <c r="G199" s="74">
        <v>0.0</v>
      </c>
      <c r="H199" s="84">
        <f t="shared" si="1"/>
        <v>450</v>
      </c>
      <c r="I199" s="76" t="str">
        <f t="shared" si="2"/>
        <v>noviembre</v>
      </c>
      <c r="J199" s="76">
        <f t="shared" si="3"/>
        <v>2025</v>
      </c>
    </row>
    <row r="200" ht="22.5" customHeight="1">
      <c r="A200" s="69">
        <v>45990.0</v>
      </c>
      <c r="B200" s="70" t="s">
        <v>73</v>
      </c>
      <c r="C200" s="70" t="s">
        <v>143</v>
      </c>
      <c r="D200" s="70" t="s">
        <v>193</v>
      </c>
      <c r="E200" s="84">
        <f t="array" ref="E200">XLOOKUP($D200,concepto_salarios,monto_salarios,0)</f>
        <v>45</v>
      </c>
      <c r="F200" s="72">
        <v>0.0</v>
      </c>
      <c r="G200" s="74">
        <v>0.0</v>
      </c>
      <c r="H200" s="84">
        <f t="shared" si="1"/>
        <v>45</v>
      </c>
      <c r="I200" s="76" t="str">
        <f t="shared" si="2"/>
        <v>noviembre</v>
      </c>
      <c r="J200" s="76">
        <f t="shared" si="3"/>
        <v>2025</v>
      </c>
    </row>
    <row r="201" ht="22.5" customHeight="1">
      <c r="A201" s="69">
        <v>45990.0</v>
      </c>
      <c r="B201" s="70" t="s">
        <v>73</v>
      </c>
      <c r="C201" s="70" t="s">
        <v>163</v>
      </c>
      <c r="D201" s="70" t="s">
        <v>164</v>
      </c>
      <c r="E201" s="84">
        <f t="array" ref="E201">XLOOKUP($D201,concepto_salarios,monto_salarios,0)</f>
        <v>100</v>
      </c>
      <c r="F201" s="72">
        <v>0.0</v>
      </c>
      <c r="G201" s="74">
        <v>0.0</v>
      </c>
      <c r="H201" s="84">
        <f t="shared" si="1"/>
        <v>100</v>
      </c>
      <c r="I201" s="76" t="str">
        <f t="shared" si="2"/>
        <v>noviembre</v>
      </c>
      <c r="J201" s="76">
        <f t="shared" si="3"/>
        <v>2025</v>
      </c>
    </row>
    <row r="202" ht="22.5" customHeight="1">
      <c r="A202" s="69">
        <v>45990.0</v>
      </c>
      <c r="B202" s="70" t="s">
        <v>70</v>
      </c>
      <c r="C202" s="70" t="s">
        <v>140</v>
      </c>
      <c r="D202" s="70" t="s">
        <v>146</v>
      </c>
      <c r="E202" s="84">
        <f t="array" ref="E202">XLOOKUP($D202,concepto_salarios,monto_salarios,0)</f>
        <v>450</v>
      </c>
      <c r="F202" s="72">
        <v>0.0</v>
      </c>
      <c r="G202" s="74">
        <v>50.0</v>
      </c>
      <c r="H202" s="84">
        <f t="shared" si="1"/>
        <v>500</v>
      </c>
      <c r="I202" s="76" t="str">
        <f t="shared" si="2"/>
        <v>noviembre</v>
      </c>
      <c r="J202" s="76">
        <f t="shared" si="3"/>
        <v>2025</v>
      </c>
    </row>
    <row r="203" ht="22.5" customHeight="1">
      <c r="A203" s="69">
        <v>45990.0</v>
      </c>
      <c r="B203" s="70" t="s">
        <v>81</v>
      </c>
      <c r="C203" s="70" t="s">
        <v>140</v>
      </c>
      <c r="D203" s="70" t="s">
        <v>146</v>
      </c>
      <c r="E203" s="84">
        <f t="array" ref="E203">XLOOKUP($D203,concepto_salarios,monto_salarios,0)</f>
        <v>450</v>
      </c>
      <c r="F203" s="72">
        <v>0.0</v>
      </c>
      <c r="G203" s="74">
        <v>50.0</v>
      </c>
      <c r="H203" s="84">
        <f t="shared" si="1"/>
        <v>500</v>
      </c>
      <c r="I203" s="76" t="str">
        <f t="shared" si="2"/>
        <v>noviembre</v>
      </c>
      <c r="J203" s="76">
        <f t="shared" si="3"/>
        <v>2025</v>
      </c>
    </row>
    <row r="204" ht="22.5" customHeight="1">
      <c r="A204" s="69">
        <v>45991.0</v>
      </c>
      <c r="B204" s="70" t="s">
        <v>51</v>
      </c>
      <c r="C204" s="70" t="s">
        <v>142</v>
      </c>
      <c r="D204" s="70" t="s">
        <v>173</v>
      </c>
      <c r="E204" s="84">
        <f t="array" ref="E204">XLOOKUP($D204,concepto_salarios,monto_salarios,0)</f>
        <v>834</v>
      </c>
      <c r="F204" s="72">
        <v>0.0</v>
      </c>
      <c r="G204" s="74">
        <v>0.0</v>
      </c>
      <c r="H204" s="84">
        <f t="shared" si="1"/>
        <v>834</v>
      </c>
      <c r="I204" s="76" t="str">
        <f t="shared" si="2"/>
        <v>noviembre</v>
      </c>
      <c r="J204" s="76">
        <f t="shared" si="3"/>
        <v>2025</v>
      </c>
    </row>
    <row r="205" ht="22.5" customHeight="1">
      <c r="A205" s="69">
        <v>45991.0</v>
      </c>
      <c r="B205" s="70" t="s">
        <v>73</v>
      </c>
      <c r="C205" s="70" t="s">
        <v>143</v>
      </c>
      <c r="D205" s="70" t="s">
        <v>206</v>
      </c>
      <c r="E205" s="84">
        <f t="array" ref="E205">XLOOKUP($D205,concepto_salarios,monto_salarios,0)</f>
        <v>200</v>
      </c>
      <c r="F205" s="72">
        <v>0.0</v>
      </c>
      <c r="G205" s="74">
        <v>0.0</v>
      </c>
      <c r="H205" s="84">
        <f t="shared" si="1"/>
        <v>200</v>
      </c>
      <c r="I205" s="76" t="str">
        <f t="shared" si="2"/>
        <v>noviembre</v>
      </c>
      <c r="J205" s="76">
        <f t="shared" si="3"/>
        <v>2025</v>
      </c>
    </row>
    <row r="206" ht="22.5" customHeight="1">
      <c r="A206" s="69">
        <v>45991.0</v>
      </c>
      <c r="B206" s="70" t="s">
        <v>73</v>
      </c>
      <c r="C206" s="70" t="s">
        <v>143</v>
      </c>
      <c r="D206" s="70" t="s">
        <v>225</v>
      </c>
      <c r="E206" s="84">
        <f t="array" ref="E206">XLOOKUP($D206,concepto_salarios,monto_salarios,0)</f>
        <v>180</v>
      </c>
      <c r="F206" s="72">
        <v>0.0</v>
      </c>
      <c r="G206" s="74">
        <v>10.0</v>
      </c>
      <c r="H206" s="84">
        <f t="shared" si="1"/>
        <v>190</v>
      </c>
      <c r="I206" s="76" t="str">
        <f t="shared" si="2"/>
        <v>noviembre</v>
      </c>
      <c r="J206" s="76">
        <f t="shared" si="3"/>
        <v>2025</v>
      </c>
    </row>
    <row r="207" ht="22.5" customHeight="1">
      <c r="A207" s="69">
        <v>45991.0</v>
      </c>
      <c r="B207" s="70" t="s">
        <v>73</v>
      </c>
      <c r="C207" s="70" t="s">
        <v>142</v>
      </c>
      <c r="D207" s="70" t="s">
        <v>223</v>
      </c>
      <c r="E207" s="84">
        <f t="array" ref="E207">XLOOKUP($D207,concepto_salarios,monto_salarios,0)</f>
        <v>100</v>
      </c>
      <c r="F207" s="72">
        <v>0.0</v>
      </c>
      <c r="G207" s="74">
        <v>0.0</v>
      </c>
      <c r="H207" s="84">
        <f t="shared" si="1"/>
        <v>100</v>
      </c>
      <c r="I207" s="76" t="str">
        <f t="shared" si="2"/>
        <v>noviembre</v>
      </c>
      <c r="J207" s="76">
        <f t="shared" si="3"/>
        <v>2025</v>
      </c>
    </row>
    <row r="208" ht="22.5" customHeight="1">
      <c r="A208" s="69">
        <v>45991.0</v>
      </c>
      <c r="B208" s="70" t="s">
        <v>70</v>
      </c>
      <c r="C208" s="70" t="s">
        <v>142</v>
      </c>
      <c r="D208" s="70" t="s">
        <v>226</v>
      </c>
      <c r="E208" s="84">
        <f t="array" ref="E208">XLOOKUP($D208,concepto_salarios,monto_salarios,0)</f>
        <v>456</v>
      </c>
      <c r="F208" s="72">
        <v>100.0</v>
      </c>
      <c r="G208" s="74">
        <v>0.0</v>
      </c>
      <c r="H208" s="84">
        <f t="shared" si="1"/>
        <v>356</v>
      </c>
      <c r="I208" s="76" t="str">
        <f t="shared" si="2"/>
        <v>noviembre</v>
      </c>
      <c r="J208" s="76">
        <f t="shared" si="3"/>
        <v>2025</v>
      </c>
    </row>
    <row r="209" ht="22.5" customHeight="1">
      <c r="A209" s="69">
        <v>45996.0</v>
      </c>
      <c r="B209" s="70" t="s">
        <v>51</v>
      </c>
      <c r="C209" s="70" t="s">
        <v>142</v>
      </c>
      <c r="D209" s="70" t="s">
        <v>208</v>
      </c>
      <c r="E209" s="84">
        <f t="array" ref="E209">XLOOKUP($D209,concepto_salarios,monto_salarios,0)</f>
        <v>504</v>
      </c>
      <c r="F209" s="72">
        <v>0.0</v>
      </c>
      <c r="G209" s="74">
        <v>200.0</v>
      </c>
      <c r="H209" s="84">
        <f t="shared" si="1"/>
        <v>704</v>
      </c>
      <c r="I209" s="76" t="str">
        <f t="shared" si="2"/>
        <v>diciembre</v>
      </c>
      <c r="J209" s="76">
        <f t="shared" si="3"/>
        <v>2025</v>
      </c>
    </row>
    <row r="210" ht="22.5" customHeight="1">
      <c r="A210" s="69">
        <v>45996.0</v>
      </c>
      <c r="B210" s="70" t="s">
        <v>81</v>
      </c>
      <c r="C210" s="70" t="s">
        <v>142</v>
      </c>
      <c r="D210" s="70" t="s">
        <v>224</v>
      </c>
      <c r="E210" s="84">
        <f t="array" ref="E210">XLOOKUP($D210,concepto_salarios,monto_salarios,0)</f>
        <v>336</v>
      </c>
      <c r="F210" s="72">
        <v>0.0</v>
      </c>
      <c r="G210" s="74">
        <v>200.0</v>
      </c>
      <c r="H210" s="84">
        <f t="shared" si="1"/>
        <v>536</v>
      </c>
      <c r="I210" s="76" t="str">
        <f t="shared" si="2"/>
        <v>diciembre</v>
      </c>
      <c r="J210" s="76">
        <f t="shared" si="3"/>
        <v>2025</v>
      </c>
    </row>
    <row r="211" ht="22.5" customHeight="1">
      <c r="A211" s="69">
        <v>45997.0</v>
      </c>
      <c r="B211" s="70" t="s">
        <v>76</v>
      </c>
      <c r="C211" s="70" t="s">
        <v>143</v>
      </c>
      <c r="D211" s="70" t="s">
        <v>227</v>
      </c>
      <c r="E211" s="84">
        <f t="array" ref="E211">XLOOKUP($D211,concepto_salarios,monto_salarios,0)</f>
        <v>50</v>
      </c>
      <c r="F211" s="72">
        <v>0.0</v>
      </c>
      <c r="G211" s="74">
        <v>0.0</v>
      </c>
      <c r="H211" s="84">
        <f t="shared" si="1"/>
        <v>50</v>
      </c>
      <c r="I211" s="76" t="str">
        <f t="shared" si="2"/>
        <v>diciembre</v>
      </c>
      <c r="J211" s="76">
        <f t="shared" si="3"/>
        <v>2025</v>
      </c>
    </row>
    <row r="212" ht="22.5" customHeight="1">
      <c r="A212" s="69">
        <v>45997.0</v>
      </c>
      <c r="B212" s="70" t="s">
        <v>76</v>
      </c>
      <c r="C212" s="70" t="s">
        <v>143</v>
      </c>
      <c r="D212" s="70" t="s">
        <v>179</v>
      </c>
      <c r="E212" s="84">
        <f t="array" ref="E212">XLOOKUP($D212,concepto_salarios,monto_salarios,0)</f>
        <v>50</v>
      </c>
      <c r="F212" s="72">
        <v>0.0</v>
      </c>
      <c r="G212" s="74">
        <v>0.0</v>
      </c>
      <c r="H212" s="84">
        <f t="shared" si="1"/>
        <v>50</v>
      </c>
      <c r="I212" s="76" t="str">
        <f t="shared" si="2"/>
        <v>diciembre</v>
      </c>
      <c r="J212" s="76">
        <f t="shared" si="3"/>
        <v>2025</v>
      </c>
    </row>
    <row r="213" ht="22.5" customHeight="1">
      <c r="A213" s="69">
        <v>45997.0</v>
      </c>
      <c r="B213" s="70" t="s">
        <v>76</v>
      </c>
      <c r="C213" s="70" t="s">
        <v>140</v>
      </c>
      <c r="D213" s="70" t="s">
        <v>199</v>
      </c>
      <c r="E213" s="84">
        <f t="array" ref="E213">XLOOKUP($D213,concepto_salarios,monto_salarios,0)</f>
        <v>100</v>
      </c>
      <c r="F213" s="72">
        <v>0.0</v>
      </c>
      <c r="G213" s="74">
        <v>0.0</v>
      </c>
      <c r="H213" s="84">
        <f t="shared" si="1"/>
        <v>100</v>
      </c>
      <c r="I213" s="76" t="str">
        <f t="shared" si="2"/>
        <v>diciembre</v>
      </c>
      <c r="J213" s="76">
        <f t="shared" si="3"/>
        <v>2025</v>
      </c>
    </row>
    <row r="214" ht="22.5" customHeight="1">
      <c r="A214" s="69">
        <v>45997.0</v>
      </c>
      <c r="B214" s="70" t="s">
        <v>76</v>
      </c>
      <c r="C214" s="70" t="s">
        <v>140</v>
      </c>
      <c r="D214" s="70" t="s">
        <v>141</v>
      </c>
      <c r="E214" s="84">
        <f t="array" ref="E214">XLOOKUP($D214,concepto_salarios,monto_salarios,0)</f>
        <v>250</v>
      </c>
      <c r="F214" s="72">
        <v>0.0</v>
      </c>
      <c r="G214" s="74">
        <v>0.0</v>
      </c>
      <c r="H214" s="84">
        <f t="shared" si="1"/>
        <v>250</v>
      </c>
      <c r="I214" s="76" t="str">
        <f t="shared" si="2"/>
        <v>diciembre</v>
      </c>
      <c r="J214" s="76">
        <f t="shared" si="3"/>
        <v>2025</v>
      </c>
    </row>
    <row r="215" ht="22.5" customHeight="1">
      <c r="A215" s="69">
        <v>45997.0</v>
      </c>
      <c r="B215" s="70" t="s">
        <v>76</v>
      </c>
      <c r="C215" s="70" t="s">
        <v>163</v>
      </c>
      <c r="D215" s="70" t="s">
        <v>196</v>
      </c>
      <c r="E215" s="84">
        <f t="array" ref="E215">XLOOKUP($D215,concepto_salarios,monto_salarios,0)</f>
        <v>100</v>
      </c>
      <c r="F215" s="72">
        <v>0.0</v>
      </c>
      <c r="G215" s="74">
        <v>0.0</v>
      </c>
      <c r="H215" s="84">
        <f t="shared" si="1"/>
        <v>100</v>
      </c>
      <c r="I215" s="76" t="str">
        <f t="shared" si="2"/>
        <v>diciembre</v>
      </c>
      <c r="J215" s="76">
        <f t="shared" si="3"/>
        <v>2025</v>
      </c>
    </row>
    <row r="216" ht="22.5" customHeight="1">
      <c r="A216" s="69">
        <v>45997.0</v>
      </c>
      <c r="B216" s="70" t="s">
        <v>46</v>
      </c>
      <c r="C216" s="70" t="s">
        <v>142</v>
      </c>
      <c r="D216" s="70" t="s">
        <v>174</v>
      </c>
      <c r="E216" s="84">
        <f t="array" ref="E216">XLOOKUP($D216,concepto_salarios,monto_salarios,0)</f>
        <v>810</v>
      </c>
      <c r="F216" s="72">
        <v>84.0</v>
      </c>
      <c r="G216" s="74">
        <v>0.0</v>
      </c>
      <c r="H216" s="84">
        <f t="shared" si="1"/>
        <v>726</v>
      </c>
      <c r="I216" s="76" t="str">
        <f t="shared" si="2"/>
        <v>diciembre</v>
      </c>
      <c r="J216" s="76">
        <f t="shared" si="3"/>
        <v>2025</v>
      </c>
    </row>
    <row r="217" ht="22.5" customHeight="1">
      <c r="A217" s="69">
        <v>45997.0</v>
      </c>
      <c r="B217" s="70" t="s">
        <v>46</v>
      </c>
      <c r="C217" s="70" t="s">
        <v>163</v>
      </c>
      <c r="D217" s="70" t="s">
        <v>196</v>
      </c>
      <c r="E217" s="84">
        <f t="array" ref="E217">XLOOKUP($D217,concepto_salarios,monto_salarios,0)</f>
        <v>100</v>
      </c>
      <c r="F217" s="72">
        <v>0.0</v>
      </c>
      <c r="G217" s="74">
        <v>0.0</v>
      </c>
      <c r="H217" s="84">
        <f t="shared" si="1"/>
        <v>100</v>
      </c>
      <c r="I217" s="76" t="str">
        <f t="shared" si="2"/>
        <v>diciembre</v>
      </c>
      <c r="J217" s="76">
        <f t="shared" si="3"/>
        <v>2025</v>
      </c>
    </row>
    <row r="218" ht="22.5" customHeight="1">
      <c r="A218" s="69">
        <v>45997.0</v>
      </c>
      <c r="B218" s="70" t="s">
        <v>79</v>
      </c>
      <c r="C218" s="70" t="s">
        <v>140</v>
      </c>
      <c r="D218" s="70" t="s">
        <v>141</v>
      </c>
      <c r="E218" s="84">
        <f t="array" ref="E218">XLOOKUP($D218,concepto_salarios,monto_salarios,0)</f>
        <v>250</v>
      </c>
      <c r="F218" s="72">
        <v>0.0</v>
      </c>
      <c r="G218" s="74">
        <v>0.0</v>
      </c>
      <c r="H218" s="84">
        <f t="shared" si="1"/>
        <v>250</v>
      </c>
      <c r="I218" s="76" t="str">
        <f t="shared" si="2"/>
        <v>diciembre</v>
      </c>
      <c r="J218" s="76">
        <f t="shared" si="3"/>
        <v>2025</v>
      </c>
    </row>
    <row r="219" ht="22.5" customHeight="1">
      <c r="A219" s="69">
        <v>45997.0</v>
      </c>
      <c r="B219" s="70" t="s">
        <v>51</v>
      </c>
      <c r="C219" s="70" t="s">
        <v>142</v>
      </c>
      <c r="D219" s="70" t="s">
        <v>185</v>
      </c>
      <c r="E219" s="84">
        <f t="array" ref="E219">XLOOKUP($D219,concepto_salarios,monto_salarios,0)</f>
        <v>1080</v>
      </c>
      <c r="F219" s="72">
        <v>0.0</v>
      </c>
      <c r="G219" s="74">
        <v>0.0</v>
      </c>
      <c r="H219" s="84">
        <f t="shared" si="1"/>
        <v>1080</v>
      </c>
      <c r="I219" s="76" t="str">
        <f t="shared" si="2"/>
        <v>diciembre</v>
      </c>
      <c r="J219" s="76">
        <f t="shared" si="3"/>
        <v>2025</v>
      </c>
    </row>
    <row r="220" ht="22.5" customHeight="1">
      <c r="A220" s="69">
        <v>45997.0</v>
      </c>
      <c r="B220" s="70" t="s">
        <v>51</v>
      </c>
      <c r="C220" s="70" t="s">
        <v>142</v>
      </c>
      <c r="D220" s="70" t="s">
        <v>223</v>
      </c>
      <c r="E220" s="84">
        <f t="array" ref="E220">XLOOKUP($D220,concepto_salarios,monto_salarios,0)</f>
        <v>100</v>
      </c>
      <c r="F220" s="72">
        <v>0.0</v>
      </c>
      <c r="G220" s="74">
        <v>0.0</v>
      </c>
      <c r="H220" s="84">
        <f t="shared" si="1"/>
        <v>100</v>
      </c>
      <c r="I220" s="76" t="str">
        <f t="shared" si="2"/>
        <v>diciembre</v>
      </c>
      <c r="J220" s="76">
        <f t="shared" si="3"/>
        <v>2025</v>
      </c>
    </row>
    <row r="221" ht="22.5" customHeight="1">
      <c r="A221" s="69">
        <v>45997.0</v>
      </c>
      <c r="B221" s="70" t="s">
        <v>51</v>
      </c>
      <c r="C221" s="70" t="s">
        <v>163</v>
      </c>
      <c r="D221" s="70" t="s">
        <v>196</v>
      </c>
      <c r="E221" s="84">
        <f t="array" ref="E221">XLOOKUP($D221,concepto_salarios,monto_salarios,0)</f>
        <v>100</v>
      </c>
      <c r="F221" s="72">
        <v>0.0</v>
      </c>
      <c r="G221" s="74">
        <v>0.0</v>
      </c>
      <c r="H221" s="84">
        <f t="shared" si="1"/>
        <v>100</v>
      </c>
      <c r="I221" s="76" t="str">
        <f t="shared" si="2"/>
        <v>diciembre</v>
      </c>
      <c r="J221" s="76">
        <f t="shared" si="3"/>
        <v>2025</v>
      </c>
    </row>
    <row r="222" ht="22.5" customHeight="1">
      <c r="A222" s="69">
        <v>45997.0</v>
      </c>
      <c r="B222" s="70" t="s">
        <v>61</v>
      </c>
      <c r="C222" s="70" t="s">
        <v>140</v>
      </c>
      <c r="D222" s="70" t="s">
        <v>146</v>
      </c>
      <c r="E222" s="84">
        <f t="array" ref="E222">XLOOKUP($D222,concepto_salarios,monto_salarios,0)</f>
        <v>450</v>
      </c>
      <c r="F222" s="72">
        <v>0.0</v>
      </c>
      <c r="G222" s="74">
        <v>0.0</v>
      </c>
      <c r="H222" s="84">
        <f t="shared" si="1"/>
        <v>450</v>
      </c>
      <c r="I222" s="76" t="str">
        <f t="shared" si="2"/>
        <v>diciembre</v>
      </c>
      <c r="J222" s="76">
        <f t="shared" si="3"/>
        <v>2025</v>
      </c>
    </row>
    <row r="223" ht="22.5" customHeight="1">
      <c r="A223" s="69">
        <v>45997.0</v>
      </c>
      <c r="B223" s="70" t="s">
        <v>41</v>
      </c>
      <c r="C223" s="70" t="s">
        <v>148</v>
      </c>
      <c r="D223" s="70" t="s">
        <v>228</v>
      </c>
      <c r="E223" s="84">
        <f t="array" ref="E223">XLOOKUP($D223,concepto_salarios,monto_salarios,0)</f>
        <v>525</v>
      </c>
      <c r="F223" s="72">
        <v>0.0</v>
      </c>
      <c r="G223" s="74">
        <v>0.0</v>
      </c>
      <c r="H223" s="84">
        <f t="shared" si="1"/>
        <v>525</v>
      </c>
      <c r="I223" s="76" t="str">
        <f t="shared" si="2"/>
        <v>diciembre</v>
      </c>
      <c r="J223" s="76">
        <f t="shared" si="3"/>
        <v>2025</v>
      </c>
    </row>
    <row r="224" ht="22.5" customHeight="1">
      <c r="A224" s="69">
        <v>45997.0</v>
      </c>
      <c r="B224" s="70" t="s">
        <v>41</v>
      </c>
      <c r="C224" s="70" t="s">
        <v>142</v>
      </c>
      <c r="D224" s="70" t="s">
        <v>195</v>
      </c>
      <c r="E224" s="84">
        <f t="array" ref="E224">XLOOKUP($D224,concepto_salarios,monto_salarios,0)</f>
        <v>150</v>
      </c>
      <c r="F224" s="72">
        <v>0.0</v>
      </c>
      <c r="G224" s="74">
        <v>0.0</v>
      </c>
      <c r="H224" s="84">
        <f t="shared" si="1"/>
        <v>150</v>
      </c>
      <c r="I224" s="76" t="str">
        <f t="shared" si="2"/>
        <v>diciembre</v>
      </c>
      <c r="J224" s="76">
        <f t="shared" si="3"/>
        <v>2025</v>
      </c>
    </row>
    <row r="225" ht="22.5" customHeight="1">
      <c r="A225" s="69">
        <v>45997.0</v>
      </c>
      <c r="B225" s="70" t="s">
        <v>41</v>
      </c>
      <c r="C225" s="70" t="s">
        <v>142</v>
      </c>
      <c r="D225" s="70" t="s">
        <v>195</v>
      </c>
      <c r="E225" s="84">
        <f t="array" ref="E225">XLOOKUP($D225,concepto_salarios,monto_salarios,0)</f>
        <v>150</v>
      </c>
      <c r="F225" s="72">
        <v>0.0</v>
      </c>
      <c r="G225" s="74">
        <v>0.0</v>
      </c>
      <c r="H225" s="84">
        <f t="shared" si="1"/>
        <v>150</v>
      </c>
      <c r="I225" s="76" t="str">
        <f t="shared" si="2"/>
        <v>diciembre</v>
      </c>
      <c r="J225" s="76">
        <f t="shared" si="3"/>
        <v>2025</v>
      </c>
    </row>
    <row r="226" ht="22.5" customHeight="1">
      <c r="A226" s="69">
        <v>45997.0</v>
      </c>
      <c r="B226" s="70" t="s">
        <v>41</v>
      </c>
      <c r="C226" s="70" t="s">
        <v>142</v>
      </c>
      <c r="D226" s="70" t="s">
        <v>223</v>
      </c>
      <c r="E226" s="84">
        <f t="array" ref="E226">XLOOKUP($D226,concepto_salarios,monto_salarios,0)</f>
        <v>100</v>
      </c>
      <c r="F226" s="72">
        <v>0.0</v>
      </c>
      <c r="G226" s="74">
        <v>0.0</v>
      </c>
      <c r="H226" s="84">
        <f t="shared" si="1"/>
        <v>100</v>
      </c>
      <c r="I226" s="76" t="str">
        <f t="shared" si="2"/>
        <v>diciembre</v>
      </c>
      <c r="J226" s="76">
        <f t="shared" si="3"/>
        <v>2025</v>
      </c>
    </row>
    <row r="227" ht="22.5" customHeight="1">
      <c r="A227" s="69">
        <v>45997.0</v>
      </c>
      <c r="B227" s="70" t="s">
        <v>41</v>
      </c>
      <c r="C227" s="70" t="s">
        <v>142</v>
      </c>
      <c r="D227" s="70" t="s">
        <v>223</v>
      </c>
      <c r="E227" s="84">
        <f t="array" ref="E227">XLOOKUP($D227,concepto_salarios,monto_salarios,0)</f>
        <v>100</v>
      </c>
      <c r="F227" s="72">
        <v>0.0</v>
      </c>
      <c r="G227" s="74">
        <v>0.0</v>
      </c>
      <c r="H227" s="84">
        <f t="shared" si="1"/>
        <v>100</v>
      </c>
      <c r="I227" s="76" t="str">
        <f t="shared" si="2"/>
        <v>diciembre</v>
      </c>
      <c r="J227" s="76">
        <f t="shared" si="3"/>
        <v>2025</v>
      </c>
    </row>
    <row r="228" ht="22.5" customHeight="1">
      <c r="A228" s="69">
        <v>45997.0</v>
      </c>
      <c r="B228" s="70" t="s">
        <v>41</v>
      </c>
      <c r="C228" s="70" t="s">
        <v>163</v>
      </c>
      <c r="D228" s="70" t="s">
        <v>196</v>
      </c>
      <c r="E228" s="84">
        <f t="array" ref="E228">XLOOKUP($D228,concepto_salarios,monto_salarios,0)</f>
        <v>100</v>
      </c>
      <c r="F228" s="72">
        <v>0.0</v>
      </c>
      <c r="G228" s="74">
        <v>0.0</v>
      </c>
      <c r="H228" s="84">
        <f t="shared" si="1"/>
        <v>100</v>
      </c>
      <c r="I228" s="76" t="str">
        <f t="shared" si="2"/>
        <v>diciembre</v>
      </c>
      <c r="J228" s="76">
        <f t="shared" si="3"/>
        <v>2025</v>
      </c>
    </row>
    <row r="229" ht="22.5" customHeight="1">
      <c r="A229" s="69">
        <v>45997.0</v>
      </c>
      <c r="B229" s="70" t="s">
        <v>73</v>
      </c>
      <c r="C229" s="70" t="s">
        <v>148</v>
      </c>
      <c r="D229" s="70" t="s">
        <v>229</v>
      </c>
      <c r="E229" s="84">
        <f t="array" ref="E229">XLOOKUP($D229,concepto_salarios,monto_salarios,0)</f>
        <v>1050</v>
      </c>
      <c r="F229" s="72">
        <v>0.0</v>
      </c>
      <c r="G229" s="74">
        <v>0.0</v>
      </c>
      <c r="H229" s="84">
        <f t="shared" si="1"/>
        <v>1050</v>
      </c>
      <c r="I229" s="76" t="str">
        <f t="shared" si="2"/>
        <v>diciembre</v>
      </c>
      <c r="J229" s="76">
        <f t="shared" si="3"/>
        <v>2025</v>
      </c>
    </row>
    <row r="230" ht="22.5" customHeight="1">
      <c r="A230" s="69">
        <v>45997.0</v>
      </c>
      <c r="B230" s="70" t="s">
        <v>73</v>
      </c>
      <c r="C230" s="70" t="s">
        <v>143</v>
      </c>
      <c r="D230" s="70" t="s">
        <v>227</v>
      </c>
      <c r="E230" s="84">
        <f t="array" ref="E230">XLOOKUP($D230,concepto_salarios,monto_salarios,0)</f>
        <v>50</v>
      </c>
      <c r="F230" s="72">
        <v>0.0</v>
      </c>
      <c r="G230" s="74">
        <v>0.0</v>
      </c>
      <c r="H230" s="84">
        <f t="shared" si="1"/>
        <v>50</v>
      </c>
      <c r="I230" s="76" t="str">
        <f t="shared" si="2"/>
        <v>diciembre</v>
      </c>
      <c r="J230" s="76">
        <f t="shared" si="3"/>
        <v>2025</v>
      </c>
    </row>
    <row r="231" ht="22.5" customHeight="1">
      <c r="A231" s="69">
        <v>45997.0</v>
      </c>
      <c r="B231" s="70" t="s">
        <v>73</v>
      </c>
      <c r="C231" s="70" t="s">
        <v>143</v>
      </c>
      <c r="D231" s="70" t="s">
        <v>179</v>
      </c>
      <c r="E231" s="84">
        <f t="array" ref="E231">XLOOKUP($D231,concepto_salarios,monto_salarios,0)</f>
        <v>50</v>
      </c>
      <c r="F231" s="72">
        <v>0.0</v>
      </c>
      <c r="G231" s="74">
        <v>0.0</v>
      </c>
      <c r="H231" s="84">
        <f t="shared" si="1"/>
        <v>50</v>
      </c>
      <c r="I231" s="76" t="str">
        <f t="shared" si="2"/>
        <v>diciembre</v>
      </c>
      <c r="J231" s="76">
        <f t="shared" si="3"/>
        <v>2025</v>
      </c>
    </row>
    <row r="232" ht="22.5" customHeight="1">
      <c r="A232" s="69">
        <v>45997.0</v>
      </c>
      <c r="B232" s="70" t="s">
        <v>73</v>
      </c>
      <c r="C232" s="70" t="s">
        <v>140</v>
      </c>
      <c r="D232" s="70" t="s">
        <v>199</v>
      </c>
      <c r="E232" s="84">
        <f t="array" ref="E232">XLOOKUP($D232,concepto_salarios,monto_salarios,0)</f>
        <v>100</v>
      </c>
      <c r="F232" s="72">
        <v>0.0</v>
      </c>
      <c r="G232" s="74">
        <v>0.0</v>
      </c>
      <c r="H232" s="84">
        <f t="shared" si="1"/>
        <v>100</v>
      </c>
      <c r="I232" s="76" t="str">
        <f t="shared" si="2"/>
        <v>diciembre</v>
      </c>
      <c r="J232" s="76">
        <f t="shared" si="3"/>
        <v>2025</v>
      </c>
    </row>
    <row r="233" ht="22.5" customHeight="1">
      <c r="A233" s="69">
        <v>45997.0</v>
      </c>
      <c r="B233" s="70" t="s">
        <v>73</v>
      </c>
      <c r="C233" s="70" t="s">
        <v>140</v>
      </c>
      <c r="D233" s="70" t="s">
        <v>146</v>
      </c>
      <c r="E233" s="84">
        <f t="array" ref="E233">XLOOKUP($D233,concepto_salarios,monto_salarios,0)</f>
        <v>450</v>
      </c>
      <c r="F233" s="72">
        <v>0.0</v>
      </c>
      <c r="G233" s="74">
        <v>0.0</v>
      </c>
      <c r="H233" s="84">
        <f t="shared" si="1"/>
        <v>450</v>
      </c>
      <c r="I233" s="76" t="str">
        <f t="shared" si="2"/>
        <v>diciembre</v>
      </c>
      <c r="J233" s="76">
        <f t="shared" si="3"/>
        <v>2025</v>
      </c>
    </row>
    <row r="234" ht="22.5" customHeight="1">
      <c r="A234" s="69">
        <v>45997.0</v>
      </c>
      <c r="B234" s="70" t="s">
        <v>73</v>
      </c>
      <c r="C234" s="70" t="s">
        <v>163</v>
      </c>
      <c r="D234" s="70" t="s">
        <v>164</v>
      </c>
      <c r="E234" s="84">
        <f t="array" ref="E234">XLOOKUP($D234,concepto_salarios,monto_salarios,0)</f>
        <v>100</v>
      </c>
      <c r="F234" s="72">
        <v>0.0</v>
      </c>
      <c r="G234" s="74">
        <v>0.0</v>
      </c>
      <c r="H234" s="84">
        <f t="shared" si="1"/>
        <v>100</v>
      </c>
      <c r="I234" s="76" t="str">
        <f t="shared" si="2"/>
        <v>diciembre</v>
      </c>
      <c r="J234" s="76">
        <f t="shared" si="3"/>
        <v>2025</v>
      </c>
    </row>
    <row r="235" ht="22.5" customHeight="1">
      <c r="A235" s="69">
        <v>45997.0</v>
      </c>
      <c r="B235" s="70" t="s">
        <v>81</v>
      </c>
      <c r="C235" s="70" t="s">
        <v>140</v>
      </c>
      <c r="D235" s="70" t="s">
        <v>141</v>
      </c>
      <c r="E235" s="84">
        <f t="array" ref="E235">XLOOKUP($D235,concepto_salarios,monto_salarios,0)</f>
        <v>250</v>
      </c>
      <c r="F235" s="72">
        <v>0.0</v>
      </c>
      <c r="G235" s="74">
        <v>0.0</v>
      </c>
      <c r="H235" s="84">
        <f t="shared" si="1"/>
        <v>250</v>
      </c>
      <c r="I235" s="76" t="str">
        <f t="shared" si="2"/>
        <v>diciembre</v>
      </c>
      <c r="J235" s="76">
        <f t="shared" si="3"/>
        <v>2025</v>
      </c>
    </row>
    <row r="236" ht="22.5" customHeight="1">
      <c r="A236" s="69">
        <v>45997.0</v>
      </c>
      <c r="B236" s="70" t="s">
        <v>81</v>
      </c>
      <c r="C236" s="70" t="s">
        <v>163</v>
      </c>
      <c r="D236" s="70" t="s">
        <v>191</v>
      </c>
      <c r="E236" s="72">
        <v>100.0</v>
      </c>
      <c r="F236" s="72">
        <v>0.0</v>
      </c>
      <c r="G236" s="74">
        <v>0.0</v>
      </c>
      <c r="H236" s="84">
        <f t="shared" si="1"/>
        <v>100</v>
      </c>
      <c r="I236" s="76" t="str">
        <f t="shared" si="2"/>
        <v>diciembre</v>
      </c>
      <c r="J236" s="76">
        <f t="shared" si="3"/>
        <v>2025</v>
      </c>
    </row>
    <row r="237" ht="22.5" customHeight="1">
      <c r="A237" s="69">
        <v>45997.0</v>
      </c>
      <c r="B237" s="70" t="s">
        <v>66</v>
      </c>
      <c r="C237" s="70" t="s">
        <v>142</v>
      </c>
      <c r="D237" s="70" t="s">
        <v>190</v>
      </c>
      <c r="E237" s="84">
        <f t="array" ref="E237">XLOOKUP($D237,concepto_salarios,monto_salarios,0)</f>
        <v>870</v>
      </c>
      <c r="F237" s="72">
        <v>225.0</v>
      </c>
      <c r="G237" s="74">
        <v>0.0</v>
      </c>
      <c r="H237" s="84">
        <f t="shared" si="1"/>
        <v>645</v>
      </c>
      <c r="I237" s="76" t="str">
        <f t="shared" si="2"/>
        <v>diciembre</v>
      </c>
      <c r="J237" s="76">
        <f t="shared" si="3"/>
        <v>2025</v>
      </c>
    </row>
    <row r="238" ht="22.5" customHeight="1">
      <c r="A238" s="69">
        <v>45997.0</v>
      </c>
      <c r="B238" s="70" t="s">
        <v>56</v>
      </c>
      <c r="C238" s="70" t="s">
        <v>142</v>
      </c>
      <c r="D238" s="70" t="s">
        <v>174</v>
      </c>
      <c r="E238" s="84">
        <f t="array" ref="E238">XLOOKUP($D238,concepto_salarios,monto_salarios,0)</f>
        <v>810</v>
      </c>
      <c r="F238" s="72">
        <v>84.0</v>
      </c>
      <c r="G238" s="74">
        <v>0.0</v>
      </c>
      <c r="H238" s="84">
        <f t="shared" si="1"/>
        <v>726</v>
      </c>
      <c r="I238" s="76" t="str">
        <f t="shared" si="2"/>
        <v>diciembre</v>
      </c>
      <c r="J238" s="76">
        <f t="shared" si="3"/>
        <v>2025</v>
      </c>
    </row>
    <row r="239" ht="22.5" customHeight="1">
      <c r="A239" s="69">
        <v>45997.0</v>
      </c>
      <c r="B239" s="70" t="s">
        <v>56</v>
      </c>
      <c r="C239" s="70" t="s">
        <v>163</v>
      </c>
      <c r="D239" s="70" t="s">
        <v>196</v>
      </c>
      <c r="E239" s="84">
        <f t="array" ref="E239">XLOOKUP($D239,concepto_salarios,monto_salarios,0)</f>
        <v>100</v>
      </c>
      <c r="F239" s="72">
        <v>0.0</v>
      </c>
      <c r="G239" s="74">
        <v>0.0</v>
      </c>
      <c r="H239" s="84">
        <f t="shared" si="1"/>
        <v>100</v>
      </c>
      <c r="I239" s="76" t="str">
        <f t="shared" si="2"/>
        <v>diciembre</v>
      </c>
      <c r="J239" s="76">
        <f t="shared" si="3"/>
        <v>2025</v>
      </c>
    </row>
    <row r="240" ht="22.5" customHeight="1">
      <c r="A240" s="69">
        <v>45998.0</v>
      </c>
      <c r="B240" s="70" t="s">
        <v>76</v>
      </c>
      <c r="C240" s="70" t="s">
        <v>148</v>
      </c>
      <c r="D240" s="70" t="s">
        <v>230</v>
      </c>
      <c r="E240" s="84">
        <f t="array" ref="E240">XLOOKUP($D240,concepto_salarios,monto_salarios,0)</f>
        <v>525</v>
      </c>
      <c r="F240" s="72">
        <v>125.0</v>
      </c>
      <c r="G240" s="74">
        <v>0.0</v>
      </c>
      <c r="H240" s="84">
        <f t="shared" si="1"/>
        <v>400</v>
      </c>
      <c r="I240" s="76" t="str">
        <f t="shared" si="2"/>
        <v>diciembre</v>
      </c>
      <c r="J240" s="76">
        <f t="shared" si="3"/>
        <v>2025</v>
      </c>
    </row>
    <row r="241" ht="22.5" customHeight="1">
      <c r="A241" s="69">
        <v>45998.0</v>
      </c>
      <c r="B241" s="70" t="s">
        <v>76</v>
      </c>
      <c r="C241" s="70" t="s">
        <v>143</v>
      </c>
      <c r="D241" s="70" t="s">
        <v>231</v>
      </c>
      <c r="E241" s="84">
        <f t="array" ref="E241">XLOOKUP($D241,concepto_salarios,monto_salarios,0)</f>
        <v>50</v>
      </c>
      <c r="F241" s="72">
        <v>0.0</v>
      </c>
      <c r="G241" s="74">
        <v>0.0</v>
      </c>
      <c r="H241" s="84">
        <f t="shared" si="1"/>
        <v>50</v>
      </c>
      <c r="I241" s="76" t="str">
        <f t="shared" si="2"/>
        <v>diciembre</v>
      </c>
      <c r="J241" s="76">
        <f t="shared" si="3"/>
        <v>2025</v>
      </c>
    </row>
    <row r="242" ht="22.5" customHeight="1">
      <c r="A242" s="69">
        <v>45998.0</v>
      </c>
      <c r="B242" s="70" t="s">
        <v>76</v>
      </c>
      <c r="C242" s="70" t="s">
        <v>140</v>
      </c>
      <c r="D242" s="70" t="s">
        <v>201</v>
      </c>
      <c r="E242" s="84">
        <f t="array" ref="E242">XLOOKUP($D242,concepto_salarios,monto_salarios,0)</f>
        <v>100</v>
      </c>
      <c r="F242" s="72">
        <v>0.0</v>
      </c>
      <c r="G242" s="74">
        <v>0.0</v>
      </c>
      <c r="H242" s="84">
        <f t="shared" si="1"/>
        <v>100</v>
      </c>
      <c r="I242" s="76" t="str">
        <f t="shared" si="2"/>
        <v>diciembre</v>
      </c>
      <c r="J242" s="76">
        <f t="shared" si="3"/>
        <v>2025</v>
      </c>
    </row>
    <row r="243" ht="22.5" customHeight="1">
      <c r="A243" s="69">
        <v>45998.0</v>
      </c>
      <c r="B243" s="70" t="s">
        <v>73</v>
      </c>
      <c r="C243" s="70" t="s">
        <v>143</v>
      </c>
      <c r="D243" s="70" t="s">
        <v>231</v>
      </c>
      <c r="E243" s="84">
        <f t="array" ref="E243">XLOOKUP($D243,concepto_salarios,monto_salarios,0)</f>
        <v>50</v>
      </c>
      <c r="F243" s="72">
        <v>0.0</v>
      </c>
      <c r="G243" s="74">
        <v>0.0</v>
      </c>
      <c r="H243" s="84">
        <f t="shared" si="1"/>
        <v>50</v>
      </c>
      <c r="I243" s="76" t="str">
        <f t="shared" si="2"/>
        <v>diciembre</v>
      </c>
      <c r="J243" s="76">
        <f t="shared" si="3"/>
        <v>2025</v>
      </c>
    </row>
    <row r="244" ht="22.5" customHeight="1">
      <c r="A244" s="69">
        <v>45998.0</v>
      </c>
      <c r="B244" s="70" t="s">
        <v>73</v>
      </c>
      <c r="C244" s="70" t="s">
        <v>140</v>
      </c>
      <c r="D244" s="70" t="s">
        <v>201</v>
      </c>
      <c r="E244" s="84">
        <f t="array" ref="E244">XLOOKUP($D244,concepto_salarios,monto_salarios,0)</f>
        <v>100</v>
      </c>
      <c r="F244" s="72">
        <v>0.0</v>
      </c>
      <c r="G244" s="74">
        <v>0.0</v>
      </c>
      <c r="H244" s="84">
        <f t="shared" si="1"/>
        <v>100</v>
      </c>
      <c r="I244" s="76" t="str">
        <f t="shared" si="2"/>
        <v>diciembre</v>
      </c>
      <c r="J244" s="76">
        <f t="shared" si="3"/>
        <v>2025</v>
      </c>
    </row>
    <row r="245" ht="22.5" customHeight="1">
      <c r="A245" s="69">
        <v>45998.0</v>
      </c>
      <c r="B245" s="70" t="s">
        <v>70</v>
      </c>
      <c r="C245" s="70" t="s">
        <v>143</v>
      </c>
      <c r="D245" s="70" t="s">
        <v>177</v>
      </c>
      <c r="E245" s="84">
        <f t="array" ref="E245">XLOOKUP($D245,concepto_salarios,monto_salarios,0)</f>
        <v>200</v>
      </c>
      <c r="F245" s="72">
        <v>0.0</v>
      </c>
      <c r="G245" s="74">
        <v>0.0</v>
      </c>
      <c r="H245" s="84">
        <f t="shared" si="1"/>
        <v>200</v>
      </c>
      <c r="I245" s="76" t="str">
        <f t="shared" si="2"/>
        <v>diciembre</v>
      </c>
      <c r="J245" s="76">
        <f t="shared" si="3"/>
        <v>2025</v>
      </c>
    </row>
    <row r="246" ht="22.5" customHeight="1">
      <c r="A246" s="69">
        <v>45998.0</v>
      </c>
      <c r="B246" s="70" t="s">
        <v>70</v>
      </c>
      <c r="C246" s="70" t="s">
        <v>143</v>
      </c>
      <c r="D246" s="70" t="s">
        <v>232</v>
      </c>
      <c r="E246" s="84">
        <f t="array" ref="E246">XLOOKUP($D246,concepto_salarios,monto_salarios,0)</f>
        <v>180</v>
      </c>
      <c r="F246" s="72">
        <v>0.0</v>
      </c>
      <c r="G246" s="74">
        <v>0.0</v>
      </c>
      <c r="H246" s="84">
        <f t="shared" si="1"/>
        <v>180</v>
      </c>
      <c r="I246" s="76" t="str">
        <f t="shared" si="2"/>
        <v>diciembre</v>
      </c>
      <c r="J246" s="76">
        <f t="shared" si="3"/>
        <v>2025</v>
      </c>
    </row>
    <row r="247" ht="22.5" customHeight="1">
      <c r="A247" s="69">
        <v>45998.0</v>
      </c>
      <c r="B247" s="70" t="s">
        <v>70</v>
      </c>
      <c r="C247" s="70" t="s">
        <v>143</v>
      </c>
      <c r="D247" s="70" t="s">
        <v>217</v>
      </c>
      <c r="E247" s="84">
        <f t="array" ref="E247">XLOOKUP($D247,concepto_salarios,monto_salarios,0)</f>
        <v>100</v>
      </c>
      <c r="F247" s="72">
        <v>0.0</v>
      </c>
      <c r="G247" s="74">
        <v>0.0</v>
      </c>
      <c r="H247" s="84">
        <f t="shared" si="1"/>
        <v>100</v>
      </c>
      <c r="I247" s="76" t="str">
        <f t="shared" si="2"/>
        <v>diciembre</v>
      </c>
      <c r="J247" s="76">
        <f t="shared" si="3"/>
        <v>2025</v>
      </c>
    </row>
    <row r="248" ht="22.5" customHeight="1">
      <c r="A248" s="69">
        <v>45998.0</v>
      </c>
      <c r="B248" s="70" t="s">
        <v>70</v>
      </c>
      <c r="C248" s="70" t="s">
        <v>148</v>
      </c>
      <c r="D248" s="70" t="s">
        <v>205</v>
      </c>
      <c r="E248" s="84">
        <f t="array" ref="E248">XLOOKUP($D248,concepto_salarios,monto_salarios,0)</f>
        <v>375</v>
      </c>
      <c r="F248" s="72">
        <v>125.0</v>
      </c>
      <c r="G248" s="74">
        <v>0.0</v>
      </c>
      <c r="H248" s="84">
        <f t="shared" si="1"/>
        <v>250</v>
      </c>
      <c r="I248" s="76" t="str">
        <f t="shared" si="2"/>
        <v>diciembre</v>
      </c>
      <c r="J248" s="76">
        <f t="shared" si="3"/>
        <v>2025</v>
      </c>
    </row>
    <row r="249" ht="22.5" customHeight="1">
      <c r="A249" s="69">
        <v>45998.0</v>
      </c>
      <c r="B249" s="70" t="s">
        <v>70</v>
      </c>
      <c r="C249" s="70" t="s">
        <v>163</v>
      </c>
      <c r="D249" s="70" t="s">
        <v>203</v>
      </c>
      <c r="E249" s="84">
        <f t="array" ref="E249">XLOOKUP($D249,concepto_salarios,monto_salarios,0)</f>
        <v>250</v>
      </c>
      <c r="F249" s="72">
        <v>100.0</v>
      </c>
      <c r="G249" s="74">
        <v>0.0</v>
      </c>
      <c r="H249" s="84">
        <f t="shared" si="1"/>
        <v>150</v>
      </c>
      <c r="I249" s="76" t="str">
        <f t="shared" si="2"/>
        <v>diciembre</v>
      </c>
      <c r="J249" s="76">
        <f t="shared" si="3"/>
        <v>2025</v>
      </c>
    </row>
    <row r="250" ht="22.5" customHeight="1">
      <c r="A250" s="69">
        <v>45999.0</v>
      </c>
      <c r="B250" s="70" t="s">
        <v>61</v>
      </c>
      <c r="C250" s="70" t="s">
        <v>140</v>
      </c>
      <c r="D250" s="70" t="s">
        <v>141</v>
      </c>
      <c r="E250" s="84">
        <f t="array" ref="E250">XLOOKUP($D250,concepto_salarios,monto_salarios,0)</f>
        <v>250</v>
      </c>
      <c r="F250" s="72">
        <v>0.0</v>
      </c>
      <c r="G250" s="74">
        <v>70.0</v>
      </c>
      <c r="H250" s="84">
        <f t="shared" si="1"/>
        <v>320</v>
      </c>
      <c r="I250" s="76" t="str">
        <f t="shared" si="2"/>
        <v>diciembre</v>
      </c>
      <c r="J250" s="76">
        <f t="shared" si="3"/>
        <v>2025</v>
      </c>
    </row>
    <row r="251" ht="22.5" customHeight="1">
      <c r="A251" s="69">
        <v>45999.0</v>
      </c>
      <c r="B251" s="70" t="s">
        <v>41</v>
      </c>
      <c r="C251" s="70" t="s">
        <v>140</v>
      </c>
      <c r="D251" s="70" t="s">
        <v>141</v>
      </c>
      <c r="E251" s="84">
        <f t="array" ref="E251">XLOOKUP($D251,concepto_salarios,monto_salarios,0)</f>
        <v>250</v>
      </c>
      <c r="F251" s="72">
        <v>0.0</v>
      </c>
      <c r="G251" s="74">
        <v>70.0</v>
      </c>
      <c r="H251" s="84">
        <f t="shared" si="1"/>
        <v>320</v>
      </c>
      <c r="I251" s="76" t="str">
        <f t="shared" si="2"/>
        <v>diciembre</v>
      </c>
      <c r="J251" s="76">
        <f t="shared" si="3"/>
        <v>2025</v>
      </c>
    </row>
    <row r="252" ht="22.5" customHeight="1">
      <c r="A252" s="69">
        <v>45999.0</v>
      </c>
      <c r="B252" s="70" t="s">
        <v>41</v>
      </c>
      <c r="C252" s="70" t="s">
        <v>163</v>
      </c>
      <c r="D252" s="70" t="s">
        <v>220</v>
      </c>
      <c r="E252" s="84">
        <f t="array" ref="E252">XLOOKUP($D252,concepto_salarios,monto_salarios,0)</f>
        <v>150</v>
      </c>
      <c r="F252" s="72">
        <v>0.0</v>
      </c>
      <c r="G252" s="74">
        <v>0.0</v>
      </c>
      <c r="H252" s="84">
        <f t="shared" si="1"/>
        <v>150</v>
      </c>
      <c r="I252" s="76" t="str">
        <f t="shared" si="2"/>
        <v>diciembre</v>
      </c>
      <c r="J252" s="76">
        <f t="shared" si="3"/>
        <v>2025</v>
      </c>
    </row>
    <row r="253" ht="22.5" customHeight="1">
      <c r="A253" s="69">
        <v>45999.0</v>
      </c>
      <c r="B253" s="70" t="s">
        <v>73</v>
      </c>
      <c r="C253" s="70" t="s">
        <v>140</v>
      </c>
      <c r="D253" s="70" t="s">
        <v>145</v>
      </c>
      <c r="E253" s="84">
        <f t="array" ref="E253">XLOOKUP($D253,concepto_salarios,monto_salarios,0)</f>
        <v>350</v>
      </c>
      <c r="F253" s="72">
        <v>0.0</v>
      </c>
      <c r="G253" s="74">
        <v>0.0</v>
      </c>
      <c r="H253" s="84">
        <f t="shared" si="1"/>
        <v>350</v>
      </c>
      <c r="I253" s="76" t="str">
        <f t="shared" si="2"/>
        <v>diciembre</v>
      </c>
      <c r="J253" s="76">
        <f t="shared" si="3"/>
        <v>2025</v>
      </c>
    </row>
    <row r="254" ht="22.5" customHeight="1">
      <c r="A254" s="69">
        <v>46000.0</v>
      </c>
      <c r="B254" s="70" t="s">
        <v>46</v>
      </c>
      <c r="C254" s="70" t="s">
        <v>143</v>
      </c>
      <c r="D254" s="70" t="s">
        <v>215</v>
      </c>
      <c r="E254" s="84">
        <f t="array" ref="E254">XLOOKUP($D254,concepto_salarios,monto_salarios,0)</f>
        <v>90</v>
      </c>
      <c r="F254" s="72">
        <v>0.0</v>
      </c>
      <c r="G254" s="74">
        <v>0.0</v>
      </c>
      <c r="H254" s="84">
        <f t="shared" si="1"/>
        <v>90</v>
      </c>
      <c r="I254" s="76" t="str">
        <f t="shared" si="2"/>
        <v>diciembre</v>
      </c>
      <c r="J254" s="76">
        <f t="shared" si="3"/>
        <v>2025</v>
      </c>
    </row>
    <row r="255" ht="22.5" customHeight="1">
      <c r="A255" s="69">
        <v>46000.0</v>
      </c>
      <c r="B255" s="70" t="s">
        <v>56</v>
      </c>
      <c r="C255" s="70" t="s">
        <v>143</v>
      </c>
      <c r="D255" s="70" t="s">
        <v>215</v>
      </c>
      <c r="E255" s="84">
        <f t="array" ref="E255">XLOOKUP($D255,concepto_salarios,monto_salarios,0)</f>
        <v>90</v>
      </c>
      <c r="F255" s="72">
        <v>0.0</v>
      </c>
      <c r="G255" s="74">
        <v>0.0</v>
      </c>
      <c r="H255" s="84">
        <f t="shared" si="1"/>
        <v>90</v>
      </c>
      <c r="I255" s="76" t="str">
        <f t="shared" si="2"/>
        <v>diciembre</v>
      </c>
      <c r="J255" s="76">
        <f t="shared" si="3"/>
        <v>2025</v>
      </c>
    </row>
    <row r="256" ht="22.5" customHeight="1">
      <c r="A256" s="69">
        <v>46001.0</v>
      </c>
      <c r="B256" s="70" t="s">
        <v>41</v>
      </c>
      <c r="C256" s="70" t="s">
        <v>140</v>
      </c>
      <c r="D256" s="70" t="s">
        <v>141</v>
      </c>
      <c r="E256" s="84">
        <f t="array" ref="E256">XLOOKUP($D256,concepto_salarios,monto_salarios,0)</f>
        <v>250</v>
      </c>
      <c r="F256" s="72">
        <v>0.0</v>
      </c>
      <c r="G256" s="74">
        <v>50.0</v>
      </c>
      <c r="H256" s="84">
        <f t="shared" si="1"/>
        <v>300</v>
      </c>
      <c r="I256" s="76" t="str">
        <f t="shared" si="2"/>
        <v>diciembre</v>
      </c>
      <c r="J256" s="76">
        <f t="shared" si="3"/>
        <v>2025</v>
      </c>
    </row>
    <row r="257" ht="22.5" customHeight="1">
      <c r="A257" s="69">
        <v>46001.0</v>
      </c>
      <c r="B257" s="70" t="s">
        <v>41</v>
      </c>
      <c r="C257" s="70" t="s">
        <v>163</v>
      </c>
      <c r="D257" s="70" t="s">
        <v>220</v>
      </c>
      <c r="E257" s="84">
        <f t="array" ref="E257">XLOOKUP($D257,concepto_salarios,monto_salarios,0)</f>
        <v>150</v>
      </c>
      <c r="F257" s="72">
        <v>0.0</v>
      </c>
      <c r="G257" s="74">
        <v>0.0</v>
      </c>
      <c r="H257" s="84">
        <f t="shared" si="1"/>
        <v>150</v>
      </c>
      <c r="I257" s="76" t="str">
        <f t="shared" si="2"/>
        <v>diciembre</v>
      </c>
      <c r="J257" s="76">
        <f t="shared" si="3"/>
        <v>2025</v>
      </c>
    </row>
    <row r="258" ht="22.5" customHeight="1">
      <c r="A258" s="69">
        <v>46001.0</v>
      </c>
      <c r="B258" s="70" t="s">
        <v>70</v>
      </c>
      <c r="C258" s="70" t="s">
        <v>140</v>
      </c>
      <c r="D258" s="70" t="s">
        <v>198</v>
      </c>
      <c r="E258" s="84">
        <f t="array" ref="E258">XLOOKUP($D258,concepto_salarios,monto_salarios,0)</f>
        <v>200</v>
      </c>
      <c r="F258" s="72">
        <v>0.0</v>
      </c>
      <c r="G258" s="74">
        <v>0.0</v>
      </c>
      <c r="H258" s="84">
        <f t="shared" si="1"/>
        <v>200</v>
      </c>
      <c r="I258" s="76" t="str">
        <f t="shared" si="2"/>
        <v>diciembre</v>
      </c>
      <c r="J258" s="76">
        <f t="shared" si="3"/>
        <v>2025</v>
      </c>
    </row>
    <row r="259" ht="22.5" customHeight="1">
      <c r="A259" s="69">
        <v>46001.0</v>
      </c>
      <c r="B259" s="70" t="s">
        <v>70</v>
      </c>
      <c r="C259" s="70" t="s">
        <v>140</v>
      </c>
      <c r="D259" s="70" t="s">
        <v>198</v>
      </c>
      <c r="E259" s="84">
        <f t="array" ref="E259">XLOOKUP($D259,concepto_salarios,monto_salarios,0)</f>
        <v>200</v>
      </c>
      <c r="F259" s="72">
        <v>0.0</v>
      </c>
      <c r="G259" s="74">
        <v>0.0</v>
      </c>
      <c r="H259" s="84">
        <f t="shared" si="1"/>
        <v>200</v>
      </c>
      <c r="I259" s="76" t="str">
        <f t="shared" si="2"/>
        <v>diciembre</v>
      </c>
      <c r="J259" s="76">
        <f t="shared" si="3"/>
        <v>2025</v>
      </c>
    </row>
    <row r="260" ht="22.5" customHeight="1">
      <c r="A260" s="69">
        <v>46001.0</v>
      </c>
      <c r="B260" s="70" t="s">
        <v>81</v>
      </c>
      <c r="C260" s="70" t="s">
        <v>140</v>
      </c>
      <c r="D260" s="70" t="s">
        <v>146</v>
      </c>
      <c r="E260" s="84">
        <f t="array" ref="E260">XLOOKUP($D260,concepto_salarios,monto_salarios,0)</f>
        <v>450</v>
      </c>
      <c r="F260" s="72">
        <v>0.0</v>
      </c>
      <c r="G260" s="74">
        <v>50.0</v>
      </c>
      <c r="H260" s="84">
        <f t="shared" si="1"/>
        <v>500</v>
      </c>
      <c r="I260" s="76" t="str">
        <f t="shared" si="2"/>
        <v>diciembre</v>
      </c>
      <c r="J260" s="76">
        <f t="shared" si="3"/>
        <v>2025</v>
      </c>
    </row>
    <row r="261" ht="22.5" customHeight="1">
      <c r="A261" s="69">
        <v>46002.0</v>
      </c>
      <c r="B261" s="70" t="s">
        <v>70</v>
      </c>
      <c r="C261" s="70" t="s">
        <v>140</v>
      </c>
      <c r="D261" s="70" t="s">
        <v>145</v>
      </c>
      <c r="E261" s="84">
        <f t="array" ref="E261">XLOOKUP($D261,concepto_salarios,monto_salarios,0)</f>
        <v>350</v>
      </c>
      <c r="F261" s="72">
        <v>0.0</v>
      </c>
      <c r="G261" s="74">
        <v>0.0</v>
      </c>
      <c r="H261" s="84">
        <f t="shared" si="1"/>
        <v>350</v>
      </c>
      <c r="I261" s="76" t="str">
        <f t="shared" si="2"/>
        <v>diciembre</v>
      </c>
      <c r="J261" s="76">
        <f t="shared" si="3"/>
        <v>2025</v>
      </c>
    </row>
    <row r="262" ht="22.5" customHeight="1">
      <c r="A262" s="69">
        <v>46002.0</v>
      </c>
      <c r="B262" s="70" t="s">
        <v>81</v>
      </c>
      <c r="C262" s="70" t="s">
        <v>140</v>
      </c>
      <c r="D262" s="70" t="s">
        <v>145</v>
      </c>
      <c r="E262" s="84">
        <f t="array" ref="E262">XLOOKUP($D262,concepto_salarios,monto_salarios,0)</f>
        <v>350</v>
      </c>
      <c r="F262" s="72">
        <v>0.0</v>
      </c>
      <c r="G262" s="74">
        <v>0.0</v>
      </c>
      <c r="H262" s="84">
        <f t="shared" si="1"/>
        <v>350</v>
      </c>
      <c r="I262" s="76" t="str">
        <f t="shared" si="2"/>
        <v>diciembre</v>
      </c>
      <c r="J262" s="76">
        <f t="shared" si="3"/>
        <v>2025</v>
      </c>
    </row>
    <row r="263" ht="22.5" customHeight="1">
      <c r="A263" s="88">
        <v>46003.0</v>
      </c>
      <c r="B263" s="82" t="s">
        <v>46</v>
      </c>
      <c r="C263" s="82" t="s">
        <v>142</v>
      </c>
      <c r="D263" s="82" t="s">
        <v>223</v>
      </c>
      <c r="E263" s="84">
        <f t="array" ref="E263">XLOOKUP($D263,concepto_salarios,monto_salarios,0)</f>
        <v>100</v>
      </c>
      <c r="F263" s="80">
        <v>0.0</v>
      </c>
      <c r="G263" s="89">
        <v>0.0</v>
      </c>
      <c r="H263" s="84">
        <f t="shared" si="1"/>
        <v>100</v>
      </c>
      <c r="I263" s="76" t="str">
        <f t="shared" si="2"/>
        <v>diciembre</v>
      </c>
      <c r="J263" s="76">
        <f t="shared" si="3"/>
        <v>2025</v>
      </c>
    </row>
    <row r="264" ht="22.5" customHeight="1">
      <c r="A264" s="69">
        <v>46003.0</v>
      </c>
      <c r="B264" s="70" t="s">
        <v>51</v>
      </c>
      <c r="C264" s="70" t="s">
        <v>142</v>
      </c>
      <c r="D264" s="70" t="s">
        <v>233</v>
      </c>
      <c r="E264" s="84">
        <f t="array" ref="E264">XLOOKUP($D264,concepto_salarios,monto_salarios,0)</f>
        <v>1290</v>
      </c>
      <c r="F264" s="72">
        <v>194.0</v>
      </c>
      <c r="G264" s="74">
        <v>0.0</v>
      </c>
      <c r="H264" s="84">
        <f t="shared" si="1"/>
        <v>1096</v>
      </c>
      <c r="I264" s="76" t="str">
        <f t="shared" si="2"/>
        <v>diciembre</v>
      </c>
      <c r="J264" s="76">
        <f t="shared" si="3"/>
        <v>2025</v>
      </c>
    </row>
    <row r="265" ht="22.5" customHeight="1">
      <c r="A265" s="69">
        <v>46003.0</v>
      </c>
      <c r="B265" s="70" t="s">
        <v>61</v>
      </c>
      <c r="C265" s="70" t="s">
        <v>140</v>
      </c>
      <c r="D265" s="70" t="s">
        <v>146</v>
      </c>
      <c r="E265" s="84">
        <f t="array" ref="E265">XLOOKUP($D265,concepto_salarios,monto_salarios,0)</f>
        <v>450</v>
      </c>
      <c r="F265" s="72">
        <v>0.0</v>
      </c>
      <c r="G265" s="74">
        <v>0.0</v>
      </c>
      <c r="H265" s="84">
        <f t="shared" si="1"/>
        <v>450</v>
      </c>
      <c r="I265" s="76" t="str">
        <f t="shared" si="2"/>
        <v>diciembre</v>
      </c>
      <c r="J265" s="76">
        <f t="shared" si="3"/>
        <v>2025</v>
      </c>
    </row>
    <row r="266" ht="22.5" customHeight="1">
      <c r="A266" s="69">
        <v>46003.0</v>
      </c>
      <c r="B266" s="70" t="s">
        <v>61</v>
      </c>
      <c r="C266" s="70" t="s">
        <v>163</v>
      </c>
      <c r="D266" s="70" t="s">
        <v>191</v>
      </c>
      <c r="E266" s="84">
        <f t="array" ref="E266">XLOOKUP($D266,concepto_salarios,monto_salarios,0)</f>
        <v>0</v>
      </c>
      <c r="F266" s="72">
        <v>0.0</v>
      </c>
      <c r="G266" s="74">
        <v>200.0</v>
      </c>
      <c r="H266" s="84">
        <f t="shared" si="1"/>
        <v>200</v>
      </c>
      <c r="I266" s="76" t="str">
        <f t="shared" si="2"/>
        <v>diciembre</v>
      </c>
      <c r="J266" s="76">
        <f t="shared" si="3"/>
        <v>2025</v>
      </c>
    </row>
    <row r="267" ht="22.5" customHeight="1">
      <c r="A267" s="69">
        <v>46003.0</v>
      </c>
      <c r="B267" s="70" t="s">
        <v>41</v>
      </c>
      <c r="C267" s="70" t="s">
        <v>143</v>
      </c>
      <c r="D267" s="70" t="s">
        <v>170</v>
      </c>
      <c r="E267" s="84">
        <f t="array" ref="E267">XLOOKUP($D267,concepto_salarios,monto_salarios,0)</f>
        <v>150</v>
      </c>
      <c r="F267" s="72">
        <v>0.0</v>
      </c>
      <c r="G267" s="74">
        <v>0.0</v>
      </c>
      <c r="H267" s="84">
        <f t="shared" si="1"/>
        <v>150</v>
      </c>
      <c r="I267" s="76" t="str">
        <f t="shared" si="2"/>
        <v>diciembre</v>
      </c>
      <c r="J267" s="76">
        <f t="shared" si="3"/>
        <v>2025</v>
      </c>
    </row>
    <row r="268" ht="22.5" customHeight="1">
      <c r="A268" s="69">
        <v>46003.0</v>
      </c>
      <c r="B268" s="70" t="s">
        <v>41</v>
      </c>
      <c r="C268" s="70" t="s">
        <v>140</v>
      </c>
      <c r="D268" s="70" t="s">
        <v>199</v>
      </c>
      <c r="E268" s="84">
        <f t="array" ref="E268">XLOOKUP($D268,concepto_salarios,monto_salarios,0)</f>
        <v>100</v>
      </c>
      <c r="F268" s="72">
        <v>0.0</v>
      </c>
      <c r="G268" s="74">
        <v>50.0</v>
      </c>
      <c r="H268" s="84">
        <f t="shared" si="1"/>
        <v>150</v>
      </c>
      <c r="I268" s="76" t="str">
        <f t="shared" si="2"/>
        <v>diciembre</v>
      </c>
      <c r="J268" s="76">
        <f t="shared" si="3"/>
        <v>2025</v>
      </c>
    </row>
    <row r="269" ht="22.5" customHeight="1">
      <c r="A269" s="69">
        <v>46003.0</v>
      </c>
      <c r="B269" s="70" t="s">
        <v>41</v>
      </c>
      <c r="C269" s="70" t="s">
        <v>143</v>
      </c>
      <c r="D269" s="70" t="s">
        <v>218</v>
      </c>
      <c r="E269" s="84">
        <f t="array" ref="E269">XLOOKUP($D269,concepto_salarios,monto_salarios,0)</f>
        <v>100</v>
      </c>
      <c r="F269" s="72">
        <v>0.0</v>
      </c>
      <c r="G269" s="74">
        <v>0.0</v>
      </c>
      <c r="H269" s="84">
        <f t="shared" si="1"/>
        <v>100</v>
      </c>
      <c r="I269" s="76" t="str">
        <f t="shared" si="2"/>
        <v>diciembre</v>
      </c>
      <c r="J269" s="76">
        <f t="shared" si="3"/>
        <v>2025</v>
      </c>
    </row>
    <row r="270" ht="22.5" customHeight="1">
      <c r="A270" s="69">
        <v>46003.0</v>
      </c>
      <c r="B270" s="70" t="s">
        <v>41</v>
      </c>
      <c r="C270" s="70" t="s">
        <v>148</v>
      </c>
      <c r="D270" s="70" t="s">
        <v>186</v>
      </c>
      <c r="E270" s="84">
        <f t="array" ref="E270">XLOOKUP($D270,concepto_salarios,monto_salarios,0)</f>
        <v>375</v>
      </c>
      <c r="F270" s="80">
        <v>50.0</v>
      </c>
      <c r="G270" s="89">
        <v>0.0</v>
      </c>
      <c r="H270" s="84">
        <f t="shared" si="1"/>
        <v>325</v>
      </c>
      <c r="I270" s="76" t="str">
        <f t="shared" si="2"/>
        <v>diciembre</v>
      </c>
      <c r="J270" s="76">
        <f t="shared" si="3"/>
        <v>2025</v>
      </c>
    </row>
    <row r="271" ht="22.5" customHeight="1">
      <c r="A271" s="69">
        <v>46003.0</v>
      </c>
      <c r="B271" s="70" t="s">
        <v>41</v>
      </c>
      <c r="C271" s="70" t="s">
        <v>140</v>
      </c>
      <c r="D271" s="70" t="s">
        <v>199</v>
      </c>
      <c r="E271" s="84">
        <f t="array" ref="E271">XLOOKUP($D271,concepto_salarios,monto_salarios,0)</f>
        <v>100</v>
      </c>
      <c r="F271" s="72">
        <v>0.0</v>
      </c>
      <c r="G271" s="74">
        <v>50.0</v>
      </c>
      <c r="H271" s="84">
        <f t="shared" si="1"/>
        <v>150</v>
      </c>
      <c r="I271" s="76" t="str">
        <f t="shared" si="2"/>
        <v>diciembre</v>
      </c>
      <c r="J271" s="76">
        <f t="shared" si="3"/>
        <v>2025</v>
      </c>
    </row>
    <row r="272" ht="22.5" customHeight="1">
      <c r="A272" s="88">
        <v>46003.0</v>
      </c>
      <c r="B272" s="82" t="s">
        <v>41</v>
      </c>
      <c r="C272" s="82" t="s">
        <v>163</v>
      </c>
      <c r="D272" s="82" t="s">
        <v>164</v>
      </c>
      <c r="E272" s="84">
        <f t="array" ref="E272">XLOOKUP($D272,concepto_salarios,monto_salarios,0)</f>
        <v>100</v>
      </c>
      <c r="F272" s="80">
        <v>0.0</v>
      </c>
      <c r="G272" s="79">
        <v>0.0</v>
      </c>
      <c r="H272" s="84">
        <f t="shared" si="1"/>
        <v>100</v>
      </c>
      <c r="I272" s="76" t="str">
        <f t="shared" si="2"/>
        <v>diciembre</v>
      </c>
      <c r="J272" s="76">
        <f t="shared" si="3"/>
        <v>2025</v>
      </c>
    </row>
    <row r="273" ht="22.5" customHeight="1">
      <c r="A273" s="69">
        <v>46003.0</v>
      </c>
      <c r="B273" s="70" t="s">
        <v>70</v>
      </c>
      <c r="C273" s="70" t="s">
        <v>143</v>
      </c>
      <c r="D273" s="70" t="s">
        <v>170</v>
      </c>
      <c r="E273" s="84">
        <f t="array" ref="E273">XLOOKUP($D273,concepto_salarios,monto_salarios,0)</f>
        <v>150</v>
      </c>
      <c r="F273" s="72">
        <v>0.0</v>
      </c>
      <c r="G273" s="74">
        <v>0.0</v>
      </c>
      <c r="H273" s="84">
        <f t="shared" si="1"/>
        <v>150</v>
      </c>
      <c r="I273" s="76" t="str">
        <f t="shared" si="2"/>
        <v>diciembre</v>
      </c>
      <c r="J273" s="76">
        <f t="shared" si="3"/>
        <v>2025</v>
      </c>
    </row>
    <row r="274" ht="22.5" customHeight="1">
      <c r="A274" s="69">
        <v>46003.0</v>
      </c>
      <c r="B274" s="70" t="s">
        <v>70</v>
      </c>
      <c r="C274" s="70" t="s">
        <v>140</v>
      </c>
      <c r="D274" s="70" t="s">
        <v>199</v>
      </c>
      <c r="E274" s="84">
        <f t="array" ref="E274">XLOOKUP($D274,concepto_salarios,monto_salarios,0)</f>
        <v>100</v>
      </c>
      <c r="F274" s="72">
        <v>0.0</v>
      </c>
      <c r="G274" s="74">
        <v>50.0</v>
      </c>
      <c r="H274" s="84">
        <f t="shared" si="1"/>
        <v>150</v>
      </c>
      <c r="I274" s="76" t="str">
        <f t="shared" si="2"/>
        <v>diciembre</v>
      </c>
      <c r="J274" s="76">
        <f t="shared" si="3"/>
        <v>2025</v>
      </c>
    </row>
    <row r="275" ht="22.5" customHeight="1">
      <c r="A275" s="69">
        <v>46003.0</v>
      </c>
      <c r="B275" s="70" t="s">
        <v>70</v>
      </c>
      <c r="C275" s="70" t="s">
        <v>143</v>
      </c>
      <c r="D275" s="70" t="s">
        <v>218</v>
      </c>
      <c r="E275" s="84">
        <f t="array" ref="E275">XLOOKUP($D275,concepto_salarios,monto_salarios,0)</f>
        <v>100</v>
      </c>
      <c r="F275" s="72">
        <v>0.0</v>
      </c>
      <c r="G275" s="74">
        <v>0.0</v>
      </c>
      <c r="H275" s="84">
        <f t="shared" si="1"/>
        <v>100</v>
      </c>
      <c r="I275" s="76" t="str">
        <f t="shared" si="2"/>
        <v>diciembre</v>
      </c>
      <c r="J275" s="76">
        <f t="shared" si="3"/>
        <v>2025</v>
      </c>
    </row>
    <row r="276" ht="22.5" customHeight="1">
      <c r="A276" s="69">
        <v>46003.0</v>
      </c>
      <c r="B276" s="70" t="s">
        <v>70</v>
      </c>
      <c r="C276" s="70" t="s">
        <v>148</v>
      </c>
      <c r="D276" s="70" t="s">
        <v>186</v>
      </c>
      <c r="E276" s="84">
        <f t="array" ref="E276">XLOOKUP($D276,concepto_salarios,monto_salarios,0)</f>
        <v>375</v>
      </c>
      <c r="F276" s="80">
        <v>50.0</v>
      </c>
      <c r="G276" s="74">
        <v>0.0</v>
      </c>
      <c r="H276" s="84">
        <f t="shared" si="1"/>
        <v>325</v>
      </c>
      <c r="I276" s="76" t="str">
        <f t="shared" si="2"/>
        <v>diciembre</v>
      </c>
      <c r="J276" s="76">
        <f t="shared" si="3"/>
        <v>2025</v>
      </c>
    </row>
    <row r="277" ht="22.5" customHeight="1">
      <c r="A277" s="69">
        <v>46003.0</v>
      </c>
      <c r="B277" s="70" t="s">
        <v>70</v>
      </c>
      <c r="C277" s="70" t="s">
        <v>140</v>
      </c>
      <c r="D277" s="70" t="s">
        <v>199</v>
      </c>
      <c r="E277" s="84">
        <f t="array" ref="E277">XLOOKUP($D277,concepto_salarios,monto_salarios,0)</f>
        <v>100</v>
      </c>
      <c r="F277" s="72">
        <v>0.0</v>
      </c>
      <c r="G277" s="74">
        <v>50.0</v>
      </c>
      <c r="H277" s="84">
        <f t="shared" si="1"/>
        <v>150</v>
      </c>
      <c r="I277" s="76" t="str">
        <f t="shared" si="2"/>
        <v>diciembre</v>
      </c>
      <c r="J277" s="76">
        <f t="shared" si="3"/>
        <v>2025</v>
      </c>
    </row>
    <row r="278" ht="22.5" customHeight="1">
      <c r="A278" s="69">
        <v>46003.0</v>
      </c>
      <c r="B278" s="70" t="s">
        <v>70</v>
      </c>
      <c r="C278" s="70" t="s">
        <v>163</v>
      </c>
      <c r="D278" s="70" t="s">
        <v>164</v>
      </c>
      <c r="E278" s="84">
        <f t="array" ref="E278">XLOOKUP($D278,concepto_salarios,monto_salarios,0)</f>
        <v>100</v>
      </c>
      <c r="F278" s="72">
        <v>0.0</v>
      </c>
      <c r="G278" s="74">
        <v>0.0</v>
      </c>
      <c r="H278" s="84">
        <f t="shared" si="1"/>
        <v>100</v>
      </c>
      <c r="I278" s="76" t="str">
        <f t="shared" si="2"/>
        <v>diciembre</v>
      </c>
      <c r="J278" s="76">
        <f t="shared" si="3"/>
        <v>2025</v>
      </c>
    </row>
    <row r="279" ht="22.5" customHeight="1">
      <c r="A279" s="69">
        <v>46003.0</v>
      </c>
      <c r="B279" s="70" t="s">
        <v>66</v>
      </c>
      <c r="C279" s="70" t="s">
        <v>142</v>
      </c>
      <c r="D279" s="70" t="s">
        <v>234</v>
      </c>
      <c r="E279" s="84">
        <f t="array" ref="E279">XLOOKUP($D279,concepto_salarios,monto_salarios,0)</f>
        <v>486</v>
      </c>
      <c r="F279" s="72">
        <v>0.0</v>
      </c>
      <c r="G279" s="74">
        <v>214.0</v>
      </c>
      <c r="H279" s="84">
        <f t="shared" si="1"/>
        <v>700</v>
      </c>
      <c r="I279" s="76" t="str">
        <f t="shared" si="2"/>
        <v>diciembre</v>
      </c>
      <c r="J279" s="76">
        <f t="shared" si="3"/>
        <v>2025</v>
      </c>
    </row>
    <row r="280" ht="22.5" customHeight="1">
      <c r="A280" s="69">
        <v>46003.0</v>
      </c>
      <c r="B280" s="70" t="s">
        <v>56</v>
      </c>
      <c r="C280" s="70" t="s">
        <v>142</v>
      </c>
      <c r="D280" s="70" t="s">
        <v>226</v>
      </c>
      <c r="E280" s="84">
        <f t="array" ref="E280">XLOOKUP($D280,concepto_salarios,monto_salarios,0)</f>
        <v>456</v>
      </c>
      <c r="F280" s="72">
        <v>235.0</v>
      </c>
      <c r="G280" s="74">
        <v>0.0</v>
      </c>
      <c r="H280" s="84">
        <f t="shared" si="1"/>
        <v>221</v>
      </c>
      <c r="I280" s="76" t="str">
        <f t="shared" si="2"/>
        <v>diciembre</v>
      </c>
      <c r="J280" s="76">
        <f t="shared" si="3"/>
        <v>2025</v>
      </c>
    </row>
    <row r="281" ht="22.5" customHeight="1">
      <c r="A281" s="69">
        <v>46003.0</v>
      </c>
      <c r="B281" s="70" t="s">
        <v>56</v>
      </c>
      <c r="C281" s="70" t="s">
        <v>142</v>
      </c>
      <c r="D281" s="70" t="s">
        <v>235</v>
      </c>
      <c r="E281" s="84">
        <f t="array" ref="E281">XLOOKUP($D281,concepto_salarios,monto_salarios,0)</f>
        <v>100</v>
      </c>
      <c r="F281" s="72">
        <v>0.0</v>
      </c>
      <c r="G281" s="74">
        <v>100.0</v>
      </c>
      <c r="H281" s="84">
        <f t="shared" si="1"/>
        <v>200</v>
      </c>
      <c r="I281" s="76" t="str">
        <f t="shared" si="2"/>
        <v>diciembre</v>
      </c>
      <c r="J281" s="76">
        <f t="shared" si="3"/>
        <v>2025</v>
      </c>
    </row>
    <row r="282" ht="22.5" customHeight="1">
      <c r="A282" s="69">
        <v>46004.0</v>
      </c>
      <c r="B282" s="70" t="s">
        <v>76</v>
      </c>
      <c r="C282" s="70" t="s">
        <v>142</v>
      </c>
      <c r="D282" s="70" t="s">
        <v>187</v>
      </c>
      <c r="E282" s="84">
        <f t="array" ref="E282">XLOOKUP($D282,concepto_salarios,monto_salarios,0)</f>
        <v>720</v>
      </c>
      <c r="F282" s="72">
        <v>0.0</v>
      </c>
      <c r="G282" s="74">
        <v>0.0</v>
      </c>
      <c r="H282" s="84">
        <f t="shared" si="1"/>
        <v>720</v>
      </c>
      <c r="I282" s="76" t="str">
        <f t="shared" si="2"/>
        <v>diciembre</v>
      </c>
      <c r="J282" s="76">
        <f t="shared" si="3"/>
        <v>2025</v>
      </c>
    </row>
    <row r="283" ht="22.5" customHeight="1">
      <c r="A283" s="69">
        <v>46004.0</v>
      </c>
      <c r="B283" s="70" t="s">
        <v>76</v>
      </c>
      <c r="C283" s="70" t="s">
        <v>163</v>
      </c>
      <c r="D283" s="70" t="s">
        <v>164</v>
      </c>
      <c r="E283" s="84">
        <f t="array" ref="E283">XLOOKUP($D283,concepto_salarios,monto_salarios,0)</f>
        <v>100</v>
      </c>
      <c r="F283" s="72">
        <v>0.0</v>
      </c>
      <c r="G283" s="74">
        <v>0.0</v>
      </c>
      <c r="H283" s="84">
        <f t="shared" si="1"/>
        <v>100</v>
      </c>
      <c r="I283" s="76" t="str">
        <f t="shared" si="2"/>
        <v>diciembre</v>
      </c>
      <c r="J283" s="76">
        <f t="shared" si="3"/>
        <v>2025</v>
      </c>
    </row>
    <row r="284" ht="22.5" customHeight="1">
      <c r="A284" s="69">
        <v>46004.0</v>
      </c>
      <c r="B284" s="70" t="s">
        <v>76</v>
      </c>
      <c r="C284" s="70" t="s">
        <v>148</v>
      </c>
      <c r="D284" s="70" t="s">
        <v>210</v>
      </c>
      <c r="E284" s="84">
        <f t="array" ref="E284">XLOOKUP($D284,concepto_salarios,monto_salarios,0)</f>
        <v>150</v>
      </c>
      <c r="F284" s="72">
        <v>100.0</v>
      </c>
      <c r="G284" s="74">
        <v>0.0</v>
      </c>
      <c r="H284" s="84">
        <f t="shared" si="1"/>
        <v>50</v>
      </c>
      <c r="I284" s="76" t="str">
        <f t="shared" si="2"/>
        <v>diciembre</v>
      </c>
      <c r="J284" s="76">
        <f t="shared" si="3"/>
        <v>2025</v>
      </c>
    </row>
    <row r="285" ht="22.5" customHeight="1">
      <c r="A285" s="69">
        <v>46004.0</v>
      </c>
      <c r="B285" s="70" t="s">
        <v>46</v>
      </c>
      <c r="C285" s="70" t="s">
        <v>142</v>
      </c>
      <c r="D285" s="70" t="s">
        <v>207</v>
      </c>
      <c r="E285" s="84">
        <f t="array" ref="E285">XLOOKUP($D285,concepto_salarios,monto_salarios,0)</f>
        <v>606</v>
      </c>
      <c r="F285" s="72">
        <v>0.0</v>
      </c>
      <c r="G285" s="74">
        <v>0.0</v>
      </c>
      <c r="H285" s="84">
        <f t="shared" si="1"/>
        <v>606</v>
      </c>
      <c r="I285" s="76" t="str">
        <f t="shared" si="2"/>
        <v>diciembre</v>
      </c>
      <c r="J285" s="76">
        <f t="shared" si="3"/>
        <v>2025</v>
      </c>
    </row>
    <row r="286" ht="22.5" customHeight="1">
      <c r="A286" s="69">
        <v>46004.0</v>
      </c>
      <c r="B286" s="70" t="s">
        <v>46</v>
      </c>
      <c r="C286" s="70" t="s">
        <v>142</v>
      </c>
      <c r="D286" s="70" t="s">
        <v>235</v>
      </c>
      <c r="E286" s="84">
        <f t="array" ref="E286">XLOOKUP($D286,concepto_salarios,monto_salarios,0)</f>
        <v>100</v>
      </c>
      <c r="F286" s="72">
        <v>0.0</v>
      </c>
      <c r="G286" s="74">
        <v>0.0</v>
      </c>
      <c r="H286" s="84">
        <f t="shared" si="1"/>
        <v>100</v>
      </c>
      <c r="I286" s="76" t="str">
        <f t="shared" si="2"/>
        <v>diciembre</v>
      </c>
      <c r="J286" s="76">
        <f t="shared" si="3"/>
        <v>2025</v>
      </c>
    </row>
    <row r="287" ht="22.5" customHeight="1">
      <c r="A287" s="69">
        <v>46004.0</v>
      </c>
      <c r="B287" s="70" t="s">
        <v>46</v>
      </c>
      <c r="C287" s="70" t="s">
        <v>143</v>
      </c>
      <c r="D287" s="70" t="s">
        <v>236</v>
      </c>
      <c r="E287" s="84">
        <f t="array" ref="E287">XLOOKUP($D287,concepto_salarios,monto_salarios,0)</f>
        <v>120</v>
      </c>
      <c r="F287" s="72">
        <v>0.0</v>
      </c>
      <c r="G287" s="74">
        <v>0.0</v>
      </c>
      <c r="H287" s="84">
        <f t="shared" si="1"/>
        <v>120</v>
      </c>
      <c r="I287" s="76" t="str">
        <f t="shared" si="2"/>
        <v>diciembre</v>
      </c>
      <c r="J287" s="76">
        <f t="shared" si="3"/>
        <v>2025</v>
      </c>
    </row>
    <row r="288" ht="22.5" customHeight="1">
      <c r="A288" s="69">
        <v>46004.0</v>
      </c>
      <c r="B288" s="70" t="s">
        <v>46</v>
      </c>
      <c r="C288" s="70" t="s">
        <v>143</v>
      </c>
      <c r="D288" s="70" t="s">
        <v>172</v>
      </c>
      <c r="E288" s="84">
        <f t="array" ref="E288">XLOOKUP($D288,concepto_salarios,monto_salarios,0)</f>
        <v>90</v>
      </c>
      <c r="F288" s="72">
        <v>0.0</v>
      </c>
      <c r="G288" s="74">
        <v>0.0</v>
      </c>
      <c r="H288" s="84">
        <f t="shared" si="1"/>
        <v>90</v>
      </c>
      <c r="I288" s="76" t="str">
        <f t="shared" si="2"/>
        <v>diciembre</v>
      </c>
      <c r="J288" s="76">
        <f t="shared" si="3"/>
        <v>2025</v>
      </c>
    </row>
    <row r="289" ht="22.5" customHeight="1">
      <c r="A289" s="69">
        <v>46004.0</v>
      </c>
      <c r="B289" s="70" t="s">
        <v>79</v>
      </c>
      <c r="C289" s="70" t="s">
        <v>140</v>
      </c>
      <c r="D289" s="70" t="s">
        <v>145</v>
      </c>
      <c r="E289" s="84">
        <f t="array" ref="E289">XLOOKUP($D289,concepto_salarios,monto_salarios,0)</f>
        <v>350</v>
      </c>
      <c r="F289" s="72">
        <v>0.0</v>
      </c>
      <c r="G289" s="74">
        <v>50.0</v>
      </c>
      <c r="H289" s="84">
        <f t="shared" si="1"/>
        <v>400</v>
      </c>
      <c r="I289" s="76" t="str">
        <f t="shared" si="2"/>
        <v>diciembre</v>
      </c>
      <c r="J289" s="76">
        <f t="shared" si="3"/>
        <v>2025</v>
      </c>
    </row>
    <row r="290" ht="22.5" customHeight="1">
      <c r="A290" s="69">
        <v>46004.0</v>
      </c>
      <c r="B290" s="70" t="s">
        <v>79</v>
      </c>
      <c r="C290" s="70" t="s">
        <v>143</v>
      </c>
      <c r="D290" s="70" t="s">
        <v>227</v>
      </c>
      <c r="E290" s="84">
        <f t="array" ref="E290">XLOOKUP($D290,concepto_salarios,monto_salarios,0)</f>
        <v>50</v>
      </c>
      <c r="F290" s="72">
        <v>0.0</v>
      </c>
      <c r="G290" s="74">
        <v>0.0</v>
      </c>
      <c r="H290" s="84">
        <f t="shared" si="1"/>
        <v>50</v>
      </c>
      <c r="I290" s="76" t="str">
        <f t="shared" si="2"/>
        <v>diciembre</v>
      </c>
      <c r="J290" s="76">
        <f t="shared" si="3"/>
        <v>2025</v>
      </c>
    </row>
    <row r="291" ht="22.5" customHeight="1">
      <c r="A291" s="69">
        <v>46004.0</v>
      </c>
      <c r="B291" s="70" t="s">
        <v>51</v>
      </c>
      <c r="C291" s="70" t="s">
        <v>142</v>
      </c>
      <c r="D291" s="70" t="s">
        <v>185</v>
      </c>
      <c r="E291" s="84">
        <f t="array" ref="E291">XLOOKUP($D291,concepto_salarios,monto_salarios,0)</f>
        <v>1080</v>
      </c>
      <c r="F291" s="72">
        <v>0.0</v>
      </c>
      <c r="G291" s="74">
        <v>0.0</v>
      </c>
      <c r="H291" s="84">
        <f t="shared" si="1"/>
        <v>1080</v>
      </c>
      <c r="I291" s="76" t="str">
        <f t="shared" si="2"/>
        <v>diciembre</v>
      </c>
      <c r="J291" s="76">
        <f t="shared" si="3"/>
        <v>2025</v>
      </c>
    </row>
    <row r="292" ht="22.5" customHeight="1">
      <c r="A292" s="69">
        <v>46004.0</v>
      </c>
      <c r="B292" s="70" t="s">
        <v>51</v>
      </c>
      <c r="C292" s="70" t="s">
        <v>148</v>
      </c>
      <c r="D292" s="70" t="s">
        <v>209</v>
      </c>
      <c r="E292" s="84">
        <f t="array" ref="E292">XLOOKUP($D292,concepto_salarios,monto_salarios,0)</f>
        <v>150</v>
      </c>
      <c r="F292" s="72">
        <v>0.0</v>
      </c>
      <c r="G292" s="74">
        <v>50.0</v>
      </c>
      <c r="H292" s="84">
        <f t="shared" si="1"/>
        <v>200</v>
      </c>
      <c r="I292" s="76" t="str">
        <f t="shared" si="2"/>
        <v>diciembre</v>
      </c>
      <c r="J292" s="76">
        <f t="shared" si="3"/>
        <v>2025</v>
      </c>
    </row>
    <row r="293" ht="22.5" customHeight="1">
      <c r="A293" s="69">
        <v>46004.0</v>
      </c>
      <c r="B293" s="70" t="s">
        <v>51</v>
      </c>
      <c r="C293" s="70" t="s">
        <v>143</v>
      </c>
      <c r="D293" s="70" t="s">
        <v>227</v>
      </c>
      <c r="E293" s="84">
        <f t="array" ref="E293">XLOOKUP($D293,concepto_salarios,monto_salarios,0)</f>
        <v>50</v>
      </c>
      <c r="F293" s="72">
        <v>0.0</v>
      </c>
      <c r="G293" s="74">
        <v>0.0</v>
      </c>
      <c r="H293" s="84">
        <f t="shared" si="1"/>
        <v>50</v>
      </c>
      <c r="I293" s="76" t="str">
        <f t="shared" si="2"/>
        <v>diciembre</v>
      </c>
      <c r="J293" s="76">
        <f t="shared" si="3"/>
        <v>2025</v>
      </c>
    </row>
    <row r="294" ht="22.5" customHeight="1">
      <c r="A294" s="69">
        <v>46004.0</v>
      </c>
      <c r="B294" s="70" t="s">
        <v>51</v>
      </c>
      <c r="C294" s="70" t="s">
        <v>143</v>
      </c>
      <c r="D294" s="70" t="s">
        <v>237</v>
      </c>
      <c r="E294" s="84">
        <f t="array" ref="E294">XLOOKUP($D294,concepto_salarios,monto_salarios,0)</f>
        <v>45</v>
      </c>
      <c r="F294" s="72">
        <v>0.0</v>
      </c>
      <c r="G294" s="74">
        <v>0.0</v>
      </c>
      <c r="H294" s="84">
        <f t="shared" si="1"/>
        <v>45</v>
      </c>
      <c r="I294" s="76" t="str">
        <f t="shared" si="2"/>
        <v>diciembre</v>
      </c>
      <c r="J294" s="76">
        <f t="shared" si="3"/>
        <v>2025</v>
      </c>
    </row>
    <row r="295" ht="22.5" customHeight="1">
      <c r="A295" s="69">
        <v>46004.0</v>
      </c>
      <c r="B295" s="70" t="s">
        <v>41</v>
      </c>
      <c r="C295" s="70" t="s">
        <v>143</v>
      </c>
      <c r="D295" s="70" t="s">
        <v>189</v>
      </c>
      <c r="E295" s="84">
        <f t="array" ref="E295">XLOOKUP($D295,concepto_salarios,monto_salarios,0)</f>
        <v>100</v>
      </c>
      <c r="F295" s="72">
        <v>0.0</v>
      </c>
      <c r="G295" s="74">
        <v>0.0</v>
      </c>
      <c r="H295" s="84">
        <f t="shared" si="1"/>
        <v>100</v>
      </c>
      <c r="I295" s="76" t="str">
        <f t="shared" si="2"/>
        <v>diciembre</v>
      </c>
      <c r="J295" s="76">
        <f t="shared" si="3"/>
        <v>2025</v>
      </c>
    </row>
    <row r="296" ht="22.5" customHeight="1">
      <c r="A296" s="69">
        <v>46004.0</v>
      </c>
      <c r="B296" s="70" t="s">
        <v>41</v>
      </c>
      <c r="C296" s="70" t="s">
        <v>143</v>
      </c>
      <c r="D296" s="70" t="s">
        <v>218</v>
      </c>
      <c r="E296" s="84">
        <f t="array" ref="E296">XLOOKUP($D296,concepto_salarios,monto_salarios,0)</f>
        <v>100</v>
      </c>
      <c r="F296" s="72">
        <v>0.0</v>
      </c>
      <c r="G296" s="74">
        <v>0.0</v>
      </c>
      <c r="H296" s="84">
        <f t="shared" si="1"/>
        <v>100</v>
      </c>
      <c r="I296" s="76" t="str">
        <f t="shared" si="2"/>
        <v>diciembre</v>
      </c>
      <c r="J296" s="76">
        <f t="shared" si="3"/>
        <v>2025</v>
      </c>
    </row>
    <row r="297" ht="22.5" customHeight="1">
      <c r="A297" s="69">
        <v>46004.0</v>
      </c>
      <c r="B297" s="70" t="s">
        <v>41</v>
      </c>
      <c r="C297" s="70" t="s">
        <v>143</v>
      </c>
      <c r="D297" s="70" t="s">
        <v>211</v>
      </c>
      <c r="E297" s="84">
        <f t="array" ref="E297">XLOOKUP($D297,concepto_salarios,monto_salarios,0)</f>
        <v>45</v>
      </c>
      <c r="F297" s="72">
        <v>0.0</v>
      </c>
      <c r="G297" s="74">
        <v>5.0</v>
      </c>
      <c r="H297" s="84">
        <f t="shared" si="1"/>
        <v>50</v>
      </c>
      <c r="I297" s="76" t="str">
        <f t="shared" si="2"/>
        <v>diciembre</v>
      </c>
      <c r="J297" s="76">
        <f t="shared" si="3"/>
        <v>2025</v>
      </c>
    </row>
    <row r="298" ht="22.5" customHeight="1">
      <c r="A298" s="69">
        <v>46004.0</v>
      </c>
      <c r="B298" s="70" t="s">
        <v>41</v>
      </c>
      <c r="C298" s="70" t="s">
        <v>140</v>
      </c>
      <c r="D298" s="70" t="s">
        <v>145</v>
      </c>
      <c r="E298" s="84">
        <f t="array" ref="E298">XLOOKUP($D298,concepto_salarios,monto_salarios,0)</f>
        <v>350</v>
      </c>
      <c r="F298" s="72">
        <v>0.0</v>
      </c>
      <c r="G298" s="74">
        <v>0.0</v>
      </c>
      <c r="H298" s="84">
        <f t="shared" si="1"/>
        <v>350</v>
      </c>
      <c r="I298" s="76" t="str">
        <f t="shared" si="2"/>
        <v>diciembre</v>
      </c>
      <c r="J298" s="76">
        <f t="shared" si="3"/>
        <v>2025</v>
      </c>
    </row>
    <row r="299" ht="22.5" customHeight="1">
      <c r="A299" s="69">
        <v>46004.0</v>
      </c>
      <c r="B299" s="70" t="s">
        <v>41</v>
      </c>
      <c r="C299" s="70" t="s">
        <v>163</v>
      </c>
      <c r="D299" s="70" t="s">
        <v>164</v>
      </c>
      <c r="E299" s="84">
        <f t="array" ref="E299">XLOOKUP($D299,concepto_salarios,monto_salarios,0)</f>
        <v>100</v>
      </c>
      <c r="F299" s="72">
        <v>0.0</v>
      </c>
      <c r="G299" s="74">
        <v>0.0</v>
      </c>
      <c r="H299" s="84">
        <f t="shared" si="1"/>
        <v>100</v>
      </c>
      <c r="I299" s="76" t="str">
        <f t="shared" si="2"/>
        <v>diciembre</v>
      </c>
      <c r="J299" s="76">
        <f t="shared" si="3"/>
        <v>2025</v>
      </c>
    </row>
    <row r="300" ht="22.5" customHeight="1">
      <c r="A300" s="69">
        <v>46004.0</v>
      </c>
      <c r="B300" s="70" t="s">
        <v>41</v>
      </c>
      <c r="C300" s="70" t="s">
        <v>238</v>
      </c>
      <c r="D300" s="70" t="s">
        <v>202</v>
      </c>
      <c r="E300" s="84">
        <f t="array" ref="E300">XLOOKUP($D300,concepto_salarios,monto_salarios,0)</f>
        <v>200</v>
      </c>
      <c r="F300" s="72">
        <v>0.0</v>
      </c>
      <c r="G300" s="74">
        <v>0.0</v>
      </c>
      <c r="H300" s="84">
        <f t="shared" si="1"/>
        <v>200</v>
      </c>
      <c r="I300" s="76" t="str">
        <f t="shared" si="2"/>
        <v>diciembre</v>
      </c>
      <c r="J300" s="76">
        <f t="shared" si="3"/>
        <v>2025</v>
      </c>
    </row>
    <row r="301" ht="22.5" customHeight="1">
      <c r="A301" s="69">
        <v>46004.0</v>
      </c>
      <c r="B301" s="70" t="s">
        <v>73</v>
      </c>
      <c r="C301" s="70" t="s">
        <v>143</v>
      </c>
      <c r="D301" s="70" t="s">
        <v>189</v>
      </c>
      <c r="E301" s="84">
        <f t="array" ref="E301">XLOOKUP($D301,concepto_salarios,monto_salarios,0)</f>
        <v>100</v>
      </c>
      <c r="F301" s="72">
        <v>0.0</v>
      </c>
      <c r="G301" s="74">
        <v>0.0</v>
      </c>
      <c r="H301" s="84">
        <f t="shared" si="1"/>
        <v>100</v>
      </c>
      <c r="I301" s="76" t="str">
        <f t="shared" si="2"/>
        <v>diciembre</v>
      </c>
      <c r="J301" s="76">
        <f t="shared" si="3"/>
        <v>2025</v>
      </c>
    </row>
    <row r="302" ht="22.5" customHeight="1">
      <c r="A302" s="69">
        <v>46004.0</v>
      </c>
      <c r="B302" s="70" t="s">
        <v>73</v>
      </c>
      <c r="C302" s="70" t="s">
        <v>143</v>
      </c>
      <c r="D302" s="70" t="s">
        <v>218</v>
      </c>
      <c r="E302" s="84">
        <f t="array" ref="E302">XLOOKUP($D302,concepto_salarios,monto_salarios,0)</f>
        <v>100</v>
      </c>
      <c r="F302" s="72">
        <v>0.0</v>
      </c>
      <c r="G302" s="74">
        <v>0.0</v>
      </c>
      <c r="H302" s="84">
        <f t="shared" si="1"/>
        <v>100</v>
      </c>
      <c r="I302" s="76" t="str">
        <f t="shared" si="2"/>
        <v>diciembre</v>
      </c>
      <c r="J302" s="76">
        <f t="shared" si="3"/>
        <v>2025</v>
      </c>
    </row>
    <row r="303" ht="22.5" customHeight="1">
      <c r="A303" s="69">
        <v>46004.0</v>
      </c>
      <c r="B303" s="70" t="s">
        <v>73</v>
      </c>
      <c r="C303" s="70" t="s">
        <v>140</v>
      </c>
      <c r="D303" s="70" t="s">
        <v>145</v>
      </c>
      <c r="E303" s="84">
        <f t="array" ref="E303">XLOOKUP($D303,concepto_salarios,monto_salarios,0)</f>
        <v>350</v>
      </c>
      <c r="F303" s="72">
        <v>0.0</v>
      </c>
      <c r="G303" s="74">
        <v>0.0</v>
      </c>
      <c r="H303" s="84">
        <f t="shared" si="1"/>
        <v>350</v>
      </c>
      <c r="I303" s="76" t="str">
        <f t="shared" si="2"/>
        <v>diciembre</v>
      </c>
      <c r="J303" s="76">
        <f t="shared" si="3"/>
        <v>2025</v>
      </c>
    </row>
    <row r="304" ht="22.5" customHeight="1">
      <c r="A304" s="69">
        <v>46004.0</v>
      </c>
      <c r="B304" s="70" t="s">
        <v>73</v>
      </c>
      <c r="C304" s="70" t="s">
        <v>163</v>
      </c>
      <c r="D304" s="70" t="s">
        <v>164</v>
      </c>
      <c r="E304" s="84">
        <f t="array" ref="E304">XLOOKUP($D304,concepto_salarios,monto_salarios,0)</f>
        <v>100</v>
      </c>
      <c r="F304" s="72">
        <v>0.0</v>
      </c>
      <c r="G304" s="74">
        <v>0.0</v>
      </c>
      <c r="H304" s="84">
        <f t="shared" si="1"/>
        <v>100</v>
      </c>
      <c r="I304" s="76" t="str">
        <f t="shared" si="2"/>
        <v>diciembre</v>
      </c>
      <c r="J304" s="76">
        <f t="shared" si="3"/>
        <v>2025</v>
      </c>
    </row>
    <row r="305" ht="22.5" customHeight="1">
      <c r="A305" s="69">
        <v>46004.0</v>
      </c>
      <c r="B305" s="70" t="s">
        <v>73</v>
      </c>
      <c r="C305" s="70" t="s">
        <v>143</v>
      </c>
      <c r="D305" s="70" t="s">
        <v>211</v>
      </c>
      <c r="E305" s="84">
        <f t="array" ref="E305">XLOOKUP($D305,concepto_salarios,monto_salarios,0)</f>
        <v>45</v>
      </c>
      <c r="F305" s="72">
        <v>0.0</v>
      </c>
      <c r="G305" s="74">
        <v>5.0</v>
      </c>
      <c r="H305" s="84">
        <f t="shared" si="1"/>
        <v>50</v>
      </c>
      <c r="I305" s="76" t="str">
        <f t="shared" si="2"/>
        <v>diciembre</v>
      </c>
      <c r="J305" s="76">
        <f t="shared" si="3"/>
        <v>2025</v>
      </c>
    </row>
    <row r="306" ht="22.5" customHeight="1">
      <c r="A306" s="69">
        <v>46004.0</v>
      </c>
      <c r="B306" s="70" t="s">
        <v>70</v>
      </c>
      <c r="C306" s="70" t="s">
        <v>140</v>
      </c>
      <c r="D306" s="70" t="s">
        <v>145</v>
      </c>
      <c r="E306" s="84">
        <f t="array" ref="E306">XLOOKUP($D306,concepto_salarios,monto_salarios,0)</f>
        <v>350</v>
      </c>
      <c r="F306" s="72">
        <v>0.0</v>
      </c>
      <c r="G306" s="74">
        <v>50.0</v>
      </c>
      <c r="H306" s="84">
        <f t="shared" si="1"/>
        <v>400</v>
      </c>
      <c r="I306" s="76" t="str">
        <f t="shared" si="2"/>
        <v>diciembre</v>
      </c>
      <c r="J306" s="76">
        <f t="shared" si="3"/>
        <v>2025</v>
      </c>
    </row>
    <row r="307" ht="22.5" customHeight="1">
      <c r="A307" s="69">
        <v>46004.0</v>
      </c>
      <c r="B307" s="70" t="s">
        <v>70</v>
      </c>
      <c r="C307" s="70" t="s">
        <v>143</v>
      </c>
      <c r="D307" s="70" t="s">
        <v>227</v>
      </c>
      <c r="E307" s="84">
        <f t="array" ref="E307">XLOOKUP($D307,concepto_salarios,monto_salarios,0)</f>
        <v>50</v>
      </c>
      <c r="F307" s="72">
        <v>0.0</v>
      </c>
      <c r="G307" s="74">
        <v>0.0</v>
      </c>
      <c r="H307" s="84">
        <f t="shared" si="1"/>
        <v>50</v>
      </c>
      <c r="I307" s="76" t="str">
        <f t="shared" si="2"/>
        <v>diciembre</v>
      </c>
      <c r="J307" s="76">
        <f t="shared" si="3"/>
        <v>2025</v>
      </c>
    </row>
    <row r="308" ht="22.5" customHeight="1">
      <c r="A308" s="69">
        <v>46004.0</v>
      </c>
      <c r="B308" s="70" t="s">
        <v>70</v>
      </c>
      <c r="C308" s="70" t="s">
        <v>163</v>
      </c>
      <c r="D308" s="70" t="s">
        <v>203</v>
      </c>
      <c r="E308" s="84">
        <f t="array" ref="E308">XLOOKUP($D308,concepto_salarios,monto_salarios,0)</f>
        <v>250</v>
      </c>
      <c r="F308" s="72">
        <v>0.0</v>
      </c>
      <c r="G308" s="74">
        <v>0.0</v>
      </c>
      <c r="H308" s="84">
        <f t="shared" si="1"/>
        <v>250</v>
      </c>
      <c r="I308" s="76" t="str">
        <f t="shared" si="2"/>
        <v>diciembre</v>
      </c>
      <c r="J308" s="76">
        <f t="shared" si="3"/>
        <v>2025</v>
      </c>
    </row>
    <row r="309" ht="22.5" customHeight="1">
      <c r="A309" s="69">
        <v>46004.0</v>
      </c>
      <c r="B309" s="70" t="s">
        <v>56</v>
      </c>
      <c r="C309" s="70" t="s">
        <v>142</v>
      </c>
      <c r="D309" s="70" t="s">
        <v>207</v>
      </c>
      <c r="E309" s="84">
        <f t="array" ref="E309">XLOOKUP($D309,concepto_salarios,monto_salarios,0)</f>
        <v>606</v>
      </c>
      <c r="F309" s="72">
        <v>0.0</v>
      </c>
      <c r="G309" s="74">
        <v>0.0</v>
      </c>
      <c r="H309" s="84">
        <f t="shared" si="1"/>
        <v>606</v>
      </c>
      <c r="I309" s="76" t="str">
        <f t="shared" si="2"/>
        <v>diciembre</v>
      </c>
      <c r="J309" s="76">
        <f t="shared" si="3"/>
        <v>2025</v>
      </c>
    </row>
    <row r="310" ht="22.5" customHeight="1">
      <c r="A310" s="69">
        <v>46004.0</v>
      </c>
      <c r="B310" s="70" t="s">
        <v>56</v>
      </c>
      <c r="C310" s="70" t="s">
        <v>142</v>
      </c>
      <c r="D310" s="70" t="s">
        <v>235</v>
      </c>
      <c r="E310" s="84">
        <f t="array" ref="E310">XLOOKUP($D310,concepto_salarios,monto_salarios,0)</f>
        <v>100</v>
      </c>
      <c r="F310" s="72">
        <v>0.0</v>
      </c>
      <c r="G310" s="74">
        <v>0.0</v>
      </c>
      <c r="H310" s="84">
        <f t="shared" si="1"/>
        <v>100</v>
      </c>
      <c r="I310" s="76" t="str">
        <f t="shared" si="2"/>
        <v>diciembre</v>
      </c>
      <c r="J310" s="76">
        <f t="shared" si="3"/>
        <v>2025</v>
      </c>
    </row>
    <row r="311" ht="22.5" customHeight="1">
      <c r="A311" s="69">
        <v>46004.0</v>
      </c>
      <c r="B311" s="70" t="s">
        <v>56</v>
      </c>
      <c r="C311" s="70" t="s">
        <v>148</v>
      </c>
      <c r="D311" s="70" t="s">
        <v>209</v>
      </c>
      <c r="E311" s="84">
        <f t="array" ref="E311">XLOOKUP($D311,concepto_salarios,monto_salarios,0)</f>
        <v>150</v>
      </c>
      <c r="F311" s="72">
        <v>0.0</v>
      </c>
      <c r="G311" s="74">
        <v>0.0</v>
      </c>
      <c r="H311" s="84">
        <f t="shared" si="1"/>
        <v>150</v>
      </c>
      <c r="I311" s="76" t="str">
        <f t="shared" si="2"/>
        <v>diciembre</v>
      </c>
      <c r="J311" s="76">
        <f t="shared" si="3"/>
        <v>2025</v>
      </c>
    </row>
    <row r="312" ht="22.5" customHeight="1">
      <c r="A312" s="69">
        <v>46004.0</v>
      </c>
      <c r="B312" s="70" t="s">
        <v>56</v>
      </c>
      <c r="C312" s="70" t="s">
        <v>143</v>
      </c>
      <c r="D312" s="70" t="s">
        <v>227</v>
      </c>
      <c r="E312" s="84">
        <f t="array" ref="E312">XLOOKUP($D312,concepto_salarios,monto_salarios,0)</f>
        <v>50</v>
      </c>
      <c r="F312" s="72">
        <v>0.0</v>
      </c>
      <c r="G312" s="74">
        <v>0.0</v>
      </c>
      <c r="H312" s="84">
        <f t="shared" si="1"/>
        <v>50</v>
      </c>
      <c r="I312" s="76" t="str">
        <f t="shared" si="2"/>
        <v>diciembre</v>
      </c>
      <c r="J312" s="76">
        <f t="shared" si="3"/>
        <v>2025</v>
      </c>
    </row>
    <row r="313" ht="22.5" customHeight="1">
      <c r="A313" s="69">
        <v>46004.0</v>
      </c>
      <c r="B313" s="70" t="s">
        <v>56</v>
      </c>
      <c r="C313" s="70" t="s">
        <v>143</v>
      </c>
      <c r="D313" s="70" t="s">
        <v>237</v>
      </c>
      <c r="E313" s="84">
        <f t="array" ref="E313">XLOOKUP($D313,concepto_salarios,monto_salarios,0)</f>
        <v>45</v>
      </c>
      <c r="F313" s="72">
        <v>0.0</v>
      </c>
      <c r="G313" s="74">
        <v>0.0</v>
      </c>
      <c r="H313" s="84">
        <f t="shared" si="1"/>
        <v>45</v>
      </c>
      <c r="I313" s="76" t="str">
        <f t="shared" si="2"/>
        <v>diciembre</v>
      </c>
      <c r="J313" s="76">
        <f t="shared" si="3"/>
        <v>2025</v>
      </c>
    </row>
    <row r="314" ht="22.5" customHeight="1">
      <c r="A314" s="69">
        <v>46005.0</v>
      </c>
      <c r="B314" s="70" t="s">
        <v>76</v>
      </c>
      <c r="C314" s="70" t="s">
        <v>140</v>
      </c>
      <c r="D314" s="70" t="s">
        <v>141</v>
      </c>
      <c r="E314" s="84">
        <f t="array" ref="E314">XLOOKUP($D314,concepto_salarios,monto_salarios,0)</f>
        <v>250</v>
      </c>
      <c r="F314" s="72">
        <v>0.0</v>
      </c>
      <c r="G314" s="74">
        <v>0.0</v>
      </c>
      <c r="H314" s="84">
        <f t="shared" si="1"/>
        <v>250</v>
      </c>
      <c r="I314" s="76" t="str">
        <f t="shared" si="2"/>
        <v>diciembre</v>
      </c>
      <c r="J314" s="76">
        <f t="shared" si="3"/>
        <v>2025</v>
      </c>
    </row>
    <row r="315" ht="22.5" customHeight="1">
      <c r="A315" s="69">
        <v>46005.0</v>
      </c>
      <c r="B315" s="70" t="s">
        <v>76</v>
      </c>
      <c r="C315" s="70" t="s">
        <v>140</v>
      </c>
      <c r="D315" s="70" t="s">
        <v>145</v>
      </c>
      <c r="E315" s="84">
        <f t="array" ref="E315">XLOOKUP($D315,concepto_salarios,monto_salarios,0)</f>
        <v>350</v>
      </c>
      <c r="F315" s="72">
        <v>0.0</v>
      </c>
      <c r="G315" s="74">
        <v>0.0</v>
      </c>
      <c r="H315" s="84">
        <f t="shared" si="1"/>
        <v>350</v>
      </c>
      <c r="I315" s="76" t="str">
        <f t="shared" si="2"/>
        <v>diciembre</v>
      </c>
      <c r="J315" s="76">
        <f t="shared" si="3"/>
        <v>2025</v>
      </c>
    </row>
    <row r="316" ht="22.5" customHeight="1">
      <c r="A316" s="69">
        <v>46005.0</v>
      </c>
      <c r="B316" s="70" t="s">
        <v>46</v>
      </c>
      <c r="C316" s="70" t="s">
        <v>142</v>
      </c>
      <c r="D316" s="70" t="s">
        <v>223</v>
      </c>
      <c r="E316" s="84">
        <f t="array" ref="E316">XLOOKUP($D316,concepto_salarios,monto_salarios,0)</f>
        <v>100</v>
      </c>
      <c r="F316" s="72">
        <v>0.0</v>
      </c>
      <c r="G316" s="74">
        <v>0.0</v>
      </c>
      <c r="H316" s="84">
        <f t="shared" si="1"/>
        <v>100</v>
      </c>
      <c r="I316" s="76" t="str">
        <f t="shared" si="2"/>
        <v>diciembre</v>
      </c>
      <c r="J316" s="76">
        <f t="shared" si="3"/>
        <v>2025</v>
      </c>
    </row>
    <row r="317" ht="22.5" customHeight="1">
      <c r="A317" s="69">
        <v>46005.0</v>
      </c>
      <c r="B317" s="70" t="s">
        <v>46</v>
      </c>
      <c r="C317" s="70" t="s">
        <v>143</v>
      </c>
      <c r="D317" s="70" t="s">
        <v>239</v>
      </c>
      <c r="E317" s="84">
        <f t="array" ref="E317">XLOOKUP($D317,concepto_salarios,monto_salarios,0)</f>
        <v>50</v>
      </c>
      <c r="F317" s="72">
        <v>0.0</v>
      </c>
      <c r="G317" s="74">
        <v>0.0</v>
      </c>
      <c r="H317" s="84">
        <f t="shared" si="1"/>
        <v>50</v>
      </c>
      <c r="I317" s="76" t="str">
        <f t="shared" si="2"/>
        <v>diciembre</v>
      </c>
      <c r="J317" s="76">
        <f t="shared" si="3"/>
        <v>2025</v>
      </c>
    </row>
    <row r="318" ht="22.5" customHeight="1">
      <c r="A318" s="69">
        <v>46005.0</v>
      </c>
      <c r="B318" s="70" t="s">
        <v>46</v>
      </c>
      <c r="C318" s="70" t="s">
        <v>143</v>
      </c>
      <c r="D318" s="70" t="s">
        <v>227</v>
      </c>
      <c r="E318" s="84">
        <f t="array" ref="E318">XLOOKUP($D318,concepto_salarios,monto_salarios,0)</f>
        <v>50</v>
      </c>
      <c r="F318" s="72">
        <v>0.0</v>
      </c>
      <c r="G318" s="74">
        <v>0.0</v>
      </c>
      <c r="H318" s="84">
        <f t="shared" si="1"/>
        <v>50</v>
      </c>
      <c r="I318" s="76" t="str">
        <f t="shared" si="2"/>
        <v>diciembre</v>
      </c>
      <c r="J318" s="76">
        <f t="shared" si="3"/>
        <v>2025</v>
      </c>
    </row>
    <row r="319" ht="22.5" customHeight="1">
      <c r="A319" s="69">
        <v>46005.0</v>
      </c>
      <c r="B319" s="70" t="s">
        <v>79</v>
      </c>
      <c r="C319" s="70" t="s">
        <v>140</v>
      </c>
      <c r="D319" s="70" t="s">
        <v>145</v>
      </c>
      <c r="E319" s="84">
        <f t="array" ref="E319">XLOOKUP($D319,concepto_salarios,monto_salarios,0)</f>
        <v>350</v>
      </c>
      <c r="F319" s="72">
        <v>0.0</v>
      </c>
      <c r="G319" s="74">
        <v>0.0</v>
      </c>
      <c r="H319" s="84">
        <f t="shared" si="1"/>
        <v>350</v>
      </c>
      <c r="I319" s="76" t="str">
        <f t="shared" si="2"/>
        <v>diciembre</v>
      </c>
      <c r="J319" s="76">
        <f t="shared" si="3"/>
        <v>2025</v>
      </c>
    </row>
    <row r="320" ht="22.5" customHeight="1">
      <c r="A320" s="69">
        <v>46005.0</v>
      </c>
      <c r="B320" s="70" t="s">
        <v>79</v>
      </c>
      <c r="C320" s="70" t="s">
        <v>143</v>
      </c>
      <c r="D320" s="70" t="s">
        <v>240</v>
      </c>
      <c r="E320" s="84">
        <f t="array" ref="E320">XLOOKUP($D320,concepto_salarios,monto_salarios,0)</f>
        <v>45</v>
      </c>
      <c r="F320" s="72">
        <v>0.0</v>
      </c>
      <c r="G320" s="74">
        <v>0.0</v>
      </c>
      <c r="H320" s="84">
        <f t="shared" si="1"/>
        <v>45</v>
      </c>
      <c r="I320" s="76" t="str">
        <f t="shared" si="2"/>
        <v>diciembre</v>
      </c>
      <c r="J320" s="76">
        <f t="shared" si="3"/>
        <v>2025</v>
      </c>
    </row>
    <row r="321" ht="22.5" customHeight="1">
      <c r="A321" s="69">
        <v>46005.0</v>
      </c>
      <c r="B321" s="70" t="s">
        <v>79</v>
      </c>
      <c r="C321" s="70" t="s">
        <v>143</v>
      </c>
      <c r="D321" s="70" t="s">
        <v>239</v>
      </c>
      <c r="E321" s="84">
        <f t="array" ref="E321">XLOOKUP($D321,concepto_salarios,monto_salarios,0)</f>
        <v>50</v>
      </c>
      <c r="F321" s="72">
        <v>0.0</v>
      </c>
      <c r="G321" s="74">
        <v>0.0</v>
      </c>
      <c r="H321" s="84">
        <f t="shared" si="1"/>
        <v>50</v>
      </c>
      <c r="I321" s="76" t="str">
        <f t="shared" si="2"/>
        <v>diciembre</v>
      </c>
      <c r="J321" s="76">
        <f t="shared" si="3"/>
        <v>2025</v>
      </c>
    </row>
    <row r="322" ht="22.5" customHeight="1">
      <c r="A322" s="69">
        <v>46005.0</v>
      </c>
      <c r="B322" s="70" t="s">
        <v>79</v>
      </c>
      <c r="C322" s="70" t="s">
        <v>143</v>
      </c>
      <c r="D322" s="70" t="s">
        <v>193</v>
      </c>
      <c r="E322" s="84">
        <f t="array" ref="E322">XLOOKUP($D322,concepto_salarios,monto_salarios,0)</f>
        <v>45</v>
      </c>
      <c r="F322" s="72">
        <v>0.0</v>
      </c>
      <c r="G322" s="74">
        <v>0.0</v>
      </c>
      <c r="H322" s="84">
        <f t="shared" si="1"/>
        <v>45</v>
      </c>
      <c r="I322" s="76" t="str">
        <f t="shared" si="2"/>
        <v>diciembre</v>
      </c>
      <c r="J322" s="76">
        <f t="shared" si="3"/>
        <v>2025</v>
      </c>
    </row>
    <row r="323" ht="22.5" customHeight="1">
      <c r="A323" s="69">
        <v>46005.0</v>
      </c>
      <c r="B323" s="70" t="s">
        <v>51</v>
      </c>
      <c r="C323" s="70" t="s">
        <v>142</v>
      </c>
      <c r="D323" s="70" t="s">
        <v>204</v>
      </c>
      <c r="E323" s="84">
        <f t="array" ref="E323">XLOOKUP($D323,concepto_salarios,monto_salarios,0)</f>
        <v>684</v>
      </c>
      <c r="F323" s="72">
        <v>0.0</v>
      </c>
      <c r="G323" s="74">
        <v>0.0</v>
      </c>
      <c r="H323" s="84">
        <f t="shared" si="1"/>
        <v>684</v>
      </c>
      <c r="I323" s="76" t="str">
        <f t="shared" si="2"/>
        <v>diciembre</v>
      </c>
      <c r="J323" s="76">
        <f t="shared" si="3"/>
        <v>2025</v>
      </c>
    </row>
    <row r="324" ht="22.5" customHeight="1">
      <c r="A324" s="69">
        <v>46005.0</v>
      </c>
      <c r="B324" s="70" t="s">
        <v>41</v>
      </c>
      <c r="C324" s="70" t="s">
        <v>140</v>
      </c>
      <c r="D324" s="70" t="s">
        <v>145</v>
      </c>
      <c r="E324" s="84">
        <f t="array" ref="E324">XLOOKUP($D324,concepto_salarios,monto_salarios,0)</f>
        <v>350</v>
      </c>
      <c r="F324" s="72">
        <v>0.0</v>
      </c>
      <c r="G324" s="74">
        <v>0.0</v>
      </c>
      <c r="H324" s="84">
        <f t="shared" si="1"/>
        <v>350</v>
      </c>
      <c r="I324" s="76" t="str">
        <f t="shared" si="2"/>
        <v>diciembre</v>
      </c>
      <c r="J324" s="76">
        <f t="shared" si="3"/>
        <v>2025</v>
      </c>
    </row>
    <row r="325" ht="22.5" customHeight="1">
      <c r="A325" s="69">
        <v>46005.0</v>
      </c>
      <c r="B325" s="70" t="s">
        <v>41</v>
      </c>
      <c r="C325" s="70" t="s">
        <v>143</v>
      </c>
      <c r="D325" s="70" t="s">
        <v>240</v>
      </c>
      <c r="E325" s="84">
        <f t="array" ref="E325">XLOOKUP($D325,concepto_salarios,monto_salarios,0)</f>
        <v>45</v>
      </c>
      <c r="F325" s="72">
        <v>0.0</v>
      </c>
      <c r="G325" s="74">
        <v>0.0</v>
      </c>
      <c r="H325" s="84">
        <f t="shared" si="1"/>
        <v>45</v>
      </c>
      <c r="I325" s="76" t="str">
        <f t="shared" si="2"/>
        <v>diciembre</v>
      </c>
      <c r="J325" s="76">
        <f t="shared" si="3"/>
        <v>2025</v>
      </c>
    </row>
    <row r="326" ht="22.5" customHeight="1">
      <c r="A326" s="69">
        <v>46005.0</v>
      </c>
      <c r="B326" s="70" t="s">
        <v>41</v>
      </c>
      <c r="C326" s="70" t="s">
        <v>143</v>
      </c>
      <c r="D326" s="70" t="s">
        <v>227</v>
      </c>
      <c r="E326" s="84">
        <f t="array" ref="E326">XLOOKUP($D326,concepto_salarios,monto_salarios,0)</f>
        <v>50</v>
      </c>
      <c r="F326" s="72">
        <v>0.0</v>
      </c>
      <c r="G326" s="74">
        <v>0.0</v>
      </c>
      <c r="H326" s="84">
        <f t="shared" si="1"/>
        <v>50</v>
      </c>
      <c r="I326" s="76" t="str">
        <f t="shared" si="2"/>
        <v>diciembre</v>
      </c>
      <c r="J326" s="76">
        <f t="shared" si="3"/>
        <v>2025</v>
      </c>
    </row>
    <row r="327" ht="22.5" customHeight="1">
      <c r="A327" s="69">
        <v>46005.0</v>
      </c>
      <c r="B327" s="70" t="s">
        <v>41</v>
      </c>
      <c r="C327" s="70" t="s">
        <v>143</v>
      </c>
      <c r="D327" s="70" t="s">
        <v>193</v>
      </c>
      <c r="E327" s="84">
        <f t="array" ref="E327">XLOOKUP($D327,concepto_salarios,monto_salarios,0)</f>
        <v>45</v>
      </c>
      <c r="F327" s="72">
        <v>0.0</v>
      </c>
      <c r="G327" s="74">
        <v>0.0</v>
      </c>
      <c r="H327" s="84">
        <f t="shared" si="1"/>
        <v>45</v>
      </c>
      <c r="I327" s="76" t="str">
        <f t="shared" si="2"/>
        <v>diciembre</v>
      </c>
      <c r="J327" s="76">
        <f t="shared" si="3"/>
        <v>2025</v>
      </c>
    </row>
    <row r="328" ht="22.5" customHeight="1">
      <c r="A328" s="69">
        <v>46005.0</v>
      </c>
      <c r="B328" s="70" t="s">
        <v>41</v>
      </c>
      <c r="C328" s="70" t="s">
        <v>163</v>
      </c>
      <c r="D328" s="70" t="s">
        <v>202</v>
      </c>
      <c r="E328" s="84">
        <f t="array" ref="E328">XLOOKUP($D328,concepto_salarios,monto_salarios,0)</f>
        <v>200</v>
      </c>
      <c r="F328" s="72">
        <v>0.0</v>
      </c>
      <c r="G328" s="74">
        <v>0.0</v>
      </c>
      <c r="H328" s="84">
        <f t="shared" si="1"/>
        <v>200</v>
      </c>
      <c r="I328" s="76" t="str">
        <f t="shared" si="2"/>
        <v>diciembre</v>
      </c>
      <c r="J328" s="76">
        <f t="shared" si="3"/>
        <v>2025</v>
      </c>
    </row>
    <row r="329" ht="22.5" customHeight="1">
      <c r="A329" s="69">
        <v>46005.0</v>
      </c>
      <c r="B329" s="70" t="s">
        <v>73</v>
      </c>
      <c r="C329" s="70" t="s">
        <v>148</v>
      </c>
      <c r="D329" s="70" t="s">
        <v>186</v>
      </c>
      <c r="E329" s="84">
        <f t="array" ref="E329">XLOOKUP($D329,concepto_salarios,monto_salarios,0)</f>
        <v>375</v>
      </c>
      <c r="F329" s="72">
        <v>0.0</v>
      </c>
      <c r="G329" s="74">
        <v>0.0</v>
      </c>
      <c r="H329" s="84">
        <f t="shared" si="1"/>
        <v>375</v>
      </c>
      <c r="I329" s="76" t="str">
        <f t="shared" si="2"/>
        <v>diciembre</v>
      </c>
      <c r="J329" s="76">
        <f t="shared" si="3"/>
        <v>2025</v>
      </c>
    </row>
    <row r="330" ht="22.5" customHeight="1">
      <c r="A330" s="69">
        <v>46005.0</v>
      </c>
      <c r="B330" s="70" t="s">
        <v>73</v>
      </c>
      <c r="C330" s="70" t="s">
        <v>148</v>
      </c>
      <c r="D330" s="70" t="s">
        <v>210</v>
      </c>
      <c r="E330" s="84">
        <f t="array" ref="E330">XLOOKUP($D330,concepto_salarios,monto_salarios,0)</f>
        <v>150</v>
      </c>
      <c r="F330" s="72">
        <v>100.0</v>
      </c>
      <c r="G330" s="74">
        <v>0.0</v>
      </c>
      <c r="H330" s="84">
        <f t="shared" si="1"/>
        <v>50</v>
      </c>
      <c r="I330" s="76" t="str">
        <f t="shared" si="2"/>
        <v>diciembre</v>
      </c>
      <c r="J330" s="76">
        <f t="shared" si="3"/>
        <v>2025</v>
      </c>
    </row>
    <row r="331" ht="22.5" customHeight="1">
      <c r="A331" s="69">
        <v>46005.0</v>
      </c>
      <c r="B331" s="70" t="s">
        <v>73</v>
      </c>
      <c r="C331" s="70" t="s">
        <v>143</v>
      </c>
      <c r="D331" s="70" t="s">
        <v>241</v>
      </c>
      <c r="E331" s="84">
        <f t="array" ref="E331">XLOOKUP($D331,concepto_salarios,monto_salarios,0)</f>
        <v>60</v>
      </c>
      <c r="F331" s="72">
        <v>0.0</v>
      </c>
      <c r="G331" s="74">
        <v>0.0</v>
      </c>
      <c r="H331" s="84">
        <f t="shared" si="1"/>
        <v>60</v>
      </c>
      <c r="I331" s="76" t="str">
        <f t="shared" si="2"/>
        <v>diciembre</v>
      </c>
      <c r="J331" s="76">
        <f t="shared" si="3"/>
        <v>2025</v>
      </c>
    </row>
    <row r="332" ht="22.5" customHeight="1">
      <c r="A332" s="69">
        <v>46005.0</v>
      </c>
      <c r="B332" s="70" t="s">
        <v>73</v>
      </c>
      <c r="C332" s="70" t="s">
        <v>143</v>
      </c>
      <c r="D332" s="70" t="s">
        <v>239</v>
      </c>
      <c r="E332" s="84">
        <f t="array" ref="E332">XLOOKUP($D332,concepto_salarios,monto_salarios,0)</f>
        <v>50</v>
      </c>
      <c r="F332" s="72">
        <v>0.0</v>
      </c>
      <c r="G332" s="74">
        <v>0.0</v>
      </c>
      <c r="H332" s="84">
        <f t="shared" si="1"/>
        <v>50</v>
      </c>
      <c r="I332" s="76" t="str">
        <f t="shared" si="2"/>
        <v>diciembre</v>
      </c>
      <c r="J332" s="76">
        <f t="shared" si="3"/>
        <v>2025</v>
      </c>
    </row>
    <row r="333" ht="22.5" customHeight="1">
      <c r="A333" s="69">
        <v>46005.0</v>
      </c>
      <c r="B333" s="70" t="s">
        <v>73</v>
      </c>
      <c r="C333" s="70" t="s">
        <v>163</v>
      </c>
      <c r="D333" s="70" t="s">
        <v>164</v>
      </c>
      <c r="E333" s="84">
        <f t="array" ref="E333">XLOOKUP($D333,concepto_salarios,monto_salarios,0)</f>
        <v>100</v>
      </c>
      <c r="F333" s="72">
        <v>0.0</v>
      </c>
      <c r="G333" s="74">
        <v>0.0</v>
      </c>
      <c r="H333" s="84">
        <f t="shared" si="1"/>
        <v>100</v>
      </c>
      <c r="I333" s="76" t="str">
        <f t="shared" si="2"/>
        <v>diciembre</v>
      </c>
      <c r="J333" s="76">
        <f t="shared" si="3"/>
        <v>2025</v>
      </c>
    </row>
    <row r="334" ht="22.5" customHeight="1">
      <c r="A334" s="69">
        <v>46005.0</v>
      </c>
      <c r="B334" s="70" t="s">
        <v>70</v>
      </c>
      <c r="C334" s="70" t="s">
        <v>140</v>
      </c>
      <c r="D334" s="70" t="s">
        <v>141</v>
      </c>
      <c r="E334" s="84">
        <f t="array" ref="E334">XLOOKUP($D334,concepto_salarios,monto_salarios,0)</f>
        <v>250</v>
      </c>
      <c r="F334" s="72">
        <v>0.0</v>
      </c>
      <c r="G334" s="74">
        <v>0.0</v>
      </c>
      <c r="H334" s="84">
        <f t="shared" si="1"/>
        <v>250</v>
      </c>
      <c r="I334" s="76" t="str">
        <f t="shared" si="2"/>
        <v>diciembre</v>
      </c>
      <c r="J334" s="76">
        <f t="shared" si="3"/>
        <v>2025</v>
      </c>
    </row>
    <row r="335" ht="22.5" customHeight="1">
      <c r="A335" s="69">
        <v>46005.0</v>
      </c>
      <c r="B335" s="70" t="s">
        <v>70</v>
      </c>
      <c r="C335" s="70" t="s">
        <v>140</v>
      </c>
      <c r="D335" s="70" t="s">
        <v>145</v>
      </c>
      <c r="E335" s="84">
        <f t="array" ref="E335">XLOOKUP($D335,concepto_salarios,monto_salarios,0)</f>
        <v>350</v>
      </c>
      <c r="F335" s="72">
        <v>0.0</v>
      </c>
      <c r="G335" s="74">
        <v>0.0</v>
      </c>
      <c r="H335" s="84">
        <f t="shared" si="1"/>
        <v>350</v>
      </c>
      <c r="I335" s="76" t="str">
        <f t="shared" si="2"/>
        <v>diciembre</v>
      </c>
      <c r="J335" s="76">
        <f t="shared" si="3"/>
        <v>2025</v>
      </c>
    </row>
    <row r="336" ht="22.5" customHeight="1">
      <c r="A336" s="69">
        <v>46005.0</v>
      </c>
      <c r="B336" s="70" t="s">
        <v>81</v>
      </c>
      <c r="C336" s="70" t="s">
        <v>148</v>
      </c>
      <c r="D336" s="70" t="s">
        <v>205</v>
      </c>
      <c r="E336" s="84">
        <f t="array" ref="E336">XLOOKUP($D336,concepto_salarios,monto_salarios,0)</f>
        <v>375</v>
      </c>
      <c r="F336" s="72">
        <v>0.0</v>
      </c>
      <c r="G336" s="74">
        <v>0.0</v>
      </c>
      <c r="H336" s="84">
        <f t="shared" si="1"/>
        <v>375</v>
      </c>
      <c r="I336" s="76" t="str">
        <f t="shared" si="2"/>
        <v>diciembre</v>
      </c>
      <c r="J336" s="76">
        <f t="shared" si="3"/>
        <v>2025</v>
      </c>
    </row>
    <row r="337" ht="22.5" customHeight="1">
      <c r="A337" s="69">
        <v>46005.0</v>
      </c>
      <c r="B337" s="70" t="s">
        <v>81</v>
      </c>
      <c r="C337" s="70" t="s">
        <v>148</v>
      </c>
      <c r="D337" s="70" t="s">
        <v>210</v>
      </c>
      <c r="E337" s="84">
        <f t="array" ref="E337">XLOOKUP($D337,concepto_salarios,monto_salarios,0)</f>
        <v>150</v>
      </c>
      <c r="F337" s="72">
        <v>100.0</v>
      </c>
      <c r="G337" s="74">
        <v>0.0</v>
      </c>
      <c r="H337" s="84">
        <f t="shared" si="1"/>
        <v>50</v>
      </c>
      <c r="I337" s="76" t="str">
        <f t="shared" si="2"/>
        <v>diciembre</v>
      </c>
      <c r="J337" s="76">
        <f t="shared" si="3"/>
        <v>2025</v>
      </c>
    </row>
    <row r="338" ht="22.5" customHeight="1">
      <c r="A338" s="69">
        <v>46005.0</v>
      </c>
      <c r="B338" s="70" t="s">
        <v>81</v>
      </c>
      <c r="C338" s="70" t="s">
        <v>143</v>
      </c>
      <c r="D338" s="70" t="s">
        <v>241</v>
      </c>
      <c r="E338" s="84">
        <f t="array" ref="E338">XLOOKUP($D338,concepto_salarios,monto_salarios,0)</f>
        <v>60</v>
      </c>
      <c r="F338" s="72">
        <v>0.0</v>
      </c>
      <c r="G338" s="74">
        <v>0.0</v>
      </c>
      <c r="H338" s="84">
        <f t="shared" si="1"/>
        <v>60</v>
      </c>
      <c r="I338" s="76" t="str">
        <f t="shared" si="2"/>
        <v>diciembre</v>
      </c>
      <c r="J338" s="76">
        <f t="shared" si="3"/>
        <v>2025</v>
      </c>
    </row>
    <row r="339" ht="22.5" customHeight="1">
      <c r="A339" s="69">
        <v>46005.0</v>
      </c>
      <c r="B339" s="70" t="s">
        <v>81</v>
      </c>
      <c r="C339" s="70" t="s">
        <v>143</v>
      </c>
      <c r="D339" s="70" t="s">
        <v>242</v>
      </c>
      <c r="E339" s="84">
        <f t="array" ref="E339">XLOOKUP($D339,concepto_salarios,monto_salarios,0)</f>
        <v>45</v>
      </c>
      <c r="F339" s="72">
        <v>0.0</v>
      </c>
      <c r="G339" s="74">
        <v>0.0</v>
      </c>
      <c r="H339" s="84">
        <f t="shared" si="1"/>
        <v>45</v>
      </c>
      <c r="I339" s="76" t="str">
        <f t="shared" si="2"/>
        <v>diciembre</v>
      </c>
      <c r="J339" s="76">
        <f t="shared" si="3"/>
        <v>2025</v>
      </c>
    </row>
    <row r="340" ht="22.5" customHeight="1">
      <c r="A340" s="69">
        <v>46005.0</v>
      </c>
      <c r="B340" s="70" t="s">
        <v>81</v>
      </c>
      <c r="C340" s="70" t="s">
        <v>163</v>
      </c>
      <c r="D340" s="70" t="s">
        <v>164</v>
      </c>
      <c r="E340" s="84">
        <f t="array" ref="E340">XLOOKUP($D340,concepto_salarios,monto_salarios,0)</f>
        <v>100</v>
      </c>
      <c r="F340" s="72">
        <v>0.0</v>
      </c>
      <c r="G340" s="74">
        <v>0.0</v>
      </c>
      <c r="H340" s="84">
        <f t="shared" si="1"/>
        <v>100</v>
      </c>
      <c r="I340" s="76" t="str">
        <f t="shared" si="2"/>
        <v>diciembre</v>
      </c>
      <c r="J340" s="76">
        <f t="shared" si="3"/>
        <v>2025</v>
      </c>
    </row>
    <row r="341" ht="22.5" customHeight="1">
      <c r="A341" s="69">
        <v>46005.0</v>
      </c>
      <c r="B341" s="70" t="s">
        <v>66</v>
      </c>
      <c r="C341" s="70" t="s">
        <v>142</v>
      </c>
      <c r="D341" s="70" t="s">
        <v>207</v>
      </c>
      <c r="E341" s="84">
        <f t="array" ref="E341">XLOOKUP($D341,concepto_salarios,monto_salarios,0)</f>
        <v>606</v>
      </c>
      <c r="F341" s="72">
        <v>0.0</v>
      </c>
      <c r="G341" s="74">
        <v>0.0</v>
      </c>
      <c r="H341" s="84">
        <f t="shared" si="1"/>
        <v>606</v>
      </c>
      <c r="I341" s="76" t="str">
        <f t="shared" si="2"/>
        <v>diciembre</v>
      </c>
      <c r="J341" s="76">
        <f t="shared" si="3"/>
        <v>2025</v>
      </c>
    </row>
    <row r="342" ht="22.5" customHeight="1">
      <c r="A342" s="69">
        <v>46005.0</v>
      </c>
      <c r="B342" s="70" t="s">
        <v>56</v>
      </c>
      <c r="C342" s="70" t="s">
        <v>142</v>
      </c>
      <c r="D342" s="70" t="s">
        <v>223</v>
      </c>
      <c r="E342" s="84">
        <f t="array" ref="E342">XLOOKUP($D342,concepto_salarios,monto_salarios,0)</f>
        <v>100</v>
      </c>
      <c r="F342" s="72">
        <v>0.0</v>
      </c>
      <c r="G342" s="74">
        <v>0.0</v>
      </c>
      <c r="H342" s="84">
        <f t="shared" si="1"/>
        <v>100</v>
      </c>
      <c r="I342" s="76" t="str">
        <f t="shared" si="2"/>
        <v>diciembre</v>
      </c>
      <c r="J342" s="76">
        <f t="shared" si="3"/>
        <v>2025</v>
      </c>
    </row>
    <row r="343" ht="22.5" customHeight="1">
      <c r="A343" s="69">
        <v>46005.0</v>
      </c>
      <c r="B343" s="70" t="s">
        <v>56</v>
      </c>
      <c r="C343" s="70" t="s">
        <v>143</v>
      </c>
      <c r="D343" s="70" t="s">
        <v>239</v>
      </c>
      <c r="E343" s="84">
        <f t="array" ref="E343">XLOOKUP($D343,concepto_salarios,monto_salarios,0)</f>
        <v>50</v>
      </c>
      <c r="F343" s="72">
        <v>0.0</v>
      </c>
      <c r="G343" s="74">
        <v>0.0</v>
      </c>
      <c r="H343" s="84">
        <f t="shared" si="1"/>
        <v>50</v>
      </c>
      <c r="I343" s="76" t="str">
        <f t="shared" si="2"/>
        <v>diciembre</v>
      </c>
      <c r="J343" s="76">
        <f t="shared" si="3"/>
        <v>2025</v>
      </c>
    </row>
    <row r="344" ht="22.5" customHeight="1">
      <c r="A344" s="69">
        <v>46005.0</v>
      </c>
      <c r="B344" s="70" t="s">
        <v>56</v>
      </c>
      <c r="C344" s="70" t="s">
        <v>143</v>
      </c>
      <c r="D344" s="70" t="s">
        <v>227</v>
      </c>
      <c r="E344" s="84">
        <f t="array" ref="E344">XLOOKUP($D344,concepto_salarios,monto_salarios,0)</f>
        <v>50</v>
      </c>
      <c r="F344" s="72">
        <v>0.0</v>
      </c>
      <c r="G344" s="74">
        <v>0.0</v>
      </c>
      <c r="H344" s="84">
        <f t="shared" si="1"/>
        <v>50</v>
      </c>
      <c r="I344" s="76" t="str">
        <f t="shared" si="2"/>
        <v>diciembre</v>
      </c>
      <c r="J344" s="76">
        <f t="shared" si="3"/>
        <v>2025</v>
      </c>
    </row>
    <row r="345" ht="22.5" customHeight="1">
      <c r="A345" s="69">
        <v>46007.0</v>
      </c>
      <c r="B345" s="70" t="s">
        <v>79</v>
      </c>
      <c r="C345" s="70" t="s">
        <v>140</v>
      </c>
      <c r="D345" s="70" t="s">
        <v>145</v>
      </c>
      <c r="E345" s="84">
        <f t="array" ref="E345">XLOOKUP($D345,concepto_salarios,monto_salarios,0)</f>
        <v>350</v>
      </c>
      <c r="F345" s="72">
        <v>0.0</v>
      </c>
      <c r="G345" s="74">
        <v>0.0</v>
      </c>
      <c r="H345" s="84">
        <f t="shared" si="1"/>
        <v>350</v>
      </c>
      <c r="I345" s="76" t="str">
        <f t="shared" si="2"/>
        <v>diciembre</v>
      </c>
      <c r="J345" s="76">
        <f t="shared" si="3"/>
        <v>2025</v>
      </c>
    </row>
    <row r="346" ht="22.5" customHeight="1">
      <c r="A346" s="69">
        <v>46007.0</v>
      </c>
      <c r="B346" s="70" t="s">
        <v>41</v>
      </c>
      <c r="C346" s="70" t="s">
        <v>140</v>
      </c>
      <c r="D346" s="70" t="s">
        <v>145</v>
      </c>
      <c r="E346" s="84">
        <f t="array" ref="E346">XLOOKUP($D346,concepto_salarios,monto_salarios,0)</f>
        <v>350</v>
      </c>
      <c r="F346" s="72">
        <v>0.0</v>
      </c>
      <c r="G346" s="74">
        <v>0.0</v>
      </c>
      <c r="H346" s="84">
        <f t="shared" si="1"/>
        <v>350</v>
      </c>
      <c r="I346" s="76" t="str">
        <f t="shared" si="2"/>
        <v>diciembre</v>
      </c>
      <c r="J346" s="76">
        <f t="shared" si="3"/>
        <v>2025</v>
      </c>
    </row>
    <row r="347" ht="22.5" customHeight="1">
      <c r="A347" s="69">
        <v>46009.0</v>
      </c>
      <c r="B347" s="70" t="s">
        <v>46</v>
      </c>
      <c r="C347" s="70" t="s">
        <v>143</v>
      </c>
      <c r="D347" s="70" t="s">
        <v>168</v>
      </c>
      <c r="E347" s="84">
        <f t="array" ref="E347">XLOOKUP($D347,concepto_salarios,monto_salarios,0)</f>
        <v>75</v>
      </c>
      <c r="F347" s="72">
        <v>0.0</v>
      </c>
      <c r="G347" s="74">
        <v>0.0</v>
      </c>
      <c r="H347" s="84">
        <f t="shared" si="1"/>
        <v>75</v>
      </c>
      <c r="I347" s="76" t="str">
        <f t="shared" si="2"/>
        <v>diciembre</v>
      </c>
      <c r="J347" s="76">
        <f t="shared" si="3"/>
        <v>2025</v>
      </c>
    </row>
    <row r="348" ht="22.5" customHeight="1">
      <c r="A348" s="69">
        <v>46009.0</v>
      </c>
      <c r="B348" s="70" t="s">
        <v>41</v>
      </c>
      <c r="C348" s="70" t="s">
        <v>143</v>
      </c>
      <c r="D348" s="70" t="s">
        <v>170</v>
      </c>
      <c r="E348" s="84">
        <f t="array" ref="E348">XLOOKUP($D348,concepto_salarios,monto_salarios,0)</f>
        <v>150</v>
      </c>
      <c r="F348" s="72">
        <v>0.0</v>
      </c>
      <c r="G348" s="74">
        <v>0.0</v>
      </c>
      <c r="H348" s="84">
        <f t="shared" si="1"/>
        <v>150</v>
      </c>
      <c r="I348" s="76" t="str">
        <f t="shared" si="2"/>
        <v>diciembre</v>
      </c>
      <c r="J348" s="76">
        <f t="shared" si="3"/>
        <v>2025</v>
      </c>
    </row>
    <row r="349" ht="22.5" customHeight="1">
      <c r="A349" s="69">
        <v>46009.0</v>
      </c>
      <c r="B349" s="70" t="s">
        <v>56</v>
      </c>
      <c r="C349" s="70" t="s">
        <v>143</v>
      </c>
      <c r="D349" s="70" t="s">
        <v>181</v>
      </c>
      <c r="E349" s="84">
        <f t="array" ref="E349">XLOOKUP($D349,concepto_salarios,monto_salarios,0)</f>
        <v>75</v>
      </c>
      <c r="F349" s="72">
        <v>0.0</v>
      </c>
      <c r="G349" s="74">
        <v>0.0</v>
      </c>
      <c r="H349" s="84">
        <f t="shared" si="1"/>
        <v>75</v>
      </c>
      <c r="I349" s="76" t="str">
        <f t="shared" si="2"/>
        <v>diciembre</v>
      </c>
      <c r="J349" s="76">
        <f t="shared" si="3"/>
        <v>2025</v>
      </c>
    </row>
    <row r="350" ht="22.5" customHeight="1">
      <c r="A350" s="69">
        <v>46010.0</v>
      </c>
      <c r="B350" s="70" t="s">
        <v>79</v>
      </c>
      <c r="C350" s="70" t="s">
        <v>140</v>
      </c>
      <c r="D350" s="70" t="s">
        <v>145</v>
      </c>
      <c r="E350" s="84">
        <f t="array" ref="E350">XLOOKUP($D350,concepto_salarios,monto_salarios,0)</f>
        <v>350</v>
      </c>
      <c r="F350" s="72">
        <v>0.0</v>
      </c>
      <c r="G350" s="74">
        <v>0.0</v>
      </c>
      <c r="H350" s="84">
        <f t="shared" si="1"/>
        <v>350</v>
      </c>
      <c r="I350" s="76" t="str">
        <f t="shared" si="2"/>
        <v>diciembre</v>
      </c>
      <c r="J350" s="76">
        <f t="shared" si="3"/>
        <v>2025</v>
      </c>
    </row>
    <row r="351" ht="22.5" customHeight="1">
      <c r="A351" s="69">
        <v>46010.0</v>
      </c>
      <c r="B351" s="70" t="s">
        <v>41</v>
      </c>
      <c r="C351" s="70" t="s">
        <v>140</v>
      </c>
      <c r="D351" s="70" t="s">
        <v>145</v>
      </c>
      <c r="E351" s="84">
        <f t="array" ref="E351">XLOOKUP($D351,concepto_salarios,monto_salarios,0)</f>
        <v>350</v>
      </c>
      <c r="F351" s="72">
        <v>0.0</v>
      </c>
      <c r="G351" s="74">
        <v>0.0</v>
      </c>
      <c r="H351" s="84">
        <f t="shared" si="1"/>
        <v>350</v>
      </c>
      <c r="I351" s="76" t="str">
        <f t="shared" si="2"/>
        <v>diciembre</v>
      </c>
      <c r="J351" s="76">
        <f t="shared" si="3"/>
        <v>2025</v>
      </c>
    </row>
    <row r="352" ht="22.5" customHeight="1">
      <c r="A352" s="69">
        <v>46010.0</v>
      </c>
      <c r="B352" s="70" t="s">
        <v>41</v>
      </c>
      <c r="C352" s="70" t="s">
        <v>140</v>
      </c>
      <c r="D352" s="70" t="s">
        <v>145</v>
      </c>
      <c r="E352" s="84">
        <f t="array" ref="E352">XLOOKUP($D352,concepto_salarios,monto_salarios,0)</f>
        <v>350</v>
      </c>
      <c r="F352" s="72">
        <v>0.0</v>
      </c>
      <c r="G352" s="74">
        <v>0.0</v>
      </c>
      <c r="H352" s="84">
        <f t="shared" si="1"/>
        <v>350</v>
      </c>
      <c r="I352" s="76" t="str">
        <f t="shared" si="2"/>
        <v>diciembre</v>
      </c>
      <c r="J352" s="76">
        <f t="shared" si="3"/>
        <v>2025</v>
      </c>
    </row>
    <row r="353" ht="22.5" customHeight="1">
      <c r="A353" s="69">
        <v>46010.0</v>
      </c>
      <c r="B353" s="70" t="s">
        <v>73</v>
      </c>
      <c r="C353" s="70" t="s">
        <v>140</v>
      </c>
      <c r="D353" s="70" t="s">
        <v>145</v>
      </c>
      <c r="E353" s="84">
        <f t="array" ref="E353">XLOOKUP($D353,concepto_salarios,monto_salarios,0)</f>
        <v>350</v>
      </c>
      <c r="F353" s="72">
        <v>0.0</v>
      </c>
      <c r="G353" s="74">
        <v>0.0</v>
      </c>
      <c r="H353" s="84">
        <f t="shared" si="1"/>
        <v>350</v>
      </c>
      <c r="I353" s="76" t="str">
        <f t="shared" si="2"/>
        <v>diciembre</v>
      </c>
      <c r="J353" s="76">
        <f t="shared" si="3"/>
        <v>2025</v>
      </c>
    </row>
    <row r="354" ht="22.5" customHeight="1">
      <c r="A354" s="69">
        <v>46010.0</v>
      </c>
      <c r="B354" s="70" t="s">
        <v>70</v>
      </c>
      <c r="C354" s="70" t="s">
        <v>142</v>
      </c>
      <c r="D354" s="70" t="s">
        <v>195</v>
      </c>
      <c r="E354" s="84">
        <f t="array" ref="E354">XLOOKUP($D354,concepto_salarios,monto_salarios,0)</f>
        <v>150</v>
      </c>
      <c r="F354" s="72">
        <v>0.0</v>
      </c>
      <c r="G354" s="74">
        <v>50.0</v>
      </c>
      <c r="H354" s="84">
        <f t="shared" si="1"/>
        <v>200</v>
      </c>
      <c r="I354" s="76" t="str">
        <f t="shared" si="2"/>
        <v>diciembre</v>
      </c>
      <c r="J354" s="76">
        <f t="shared" si="3"/>
        <v>2025</v>
      </c>
    </row>
    <row r="355" ht="22.5" customHeight="1">
      <c r="A355" s="69">
        <v>46011.0</v>
      </c>
      <c r="B355" s="70" t="s">
        <v>46</v>
      </c>
      <c r="C355" s="70" t="s">
        <v>142</v>
      </c>
      <c r="D355" s="70" t="s">
        <v>207</v>
      </c>
      <c r="E355" s="84">
        <f t="array" ref="E355">XLOOKUP($D355,concepto_salarios,monto_salarios,0)</f>
        <v>606</v>
      </c>
      <c r="F355" s="72">
        <v>6.0</v>
      </c>
      <c r="G355" s="74">
        <v>0.0</v>
      </c>
      <c r="H355" s="84">
        <f t="shared" si="1"/>
        <v>600</v>
      </c>
      <c r="I355" s="76" t="str">
        <f t="shared" si="2"/>
        <v>diciembre</v>
      </c>
      <c r="J355" s="76">
        <f t="shared" si="3"/>
        <v>2025</v>
      </c>
    </row>
    <row r="356" ht="22.5" customHeight="1">
      <c r="A356" s="69">
        <v>46011.0</v>
      </c>
      <c r="B356" s="70" t="s">
        <v>79</v>
      </c>
      <c r="C356" s="70" t="s">
        <v>143</v>
      </c>
      <c r="D356" s="70" t="s">
        <v>181</v>
      </c>
      <c r="E356" s="84">
        <f t="array" ref="E356">XLOOKUP($D356,concepto_salarios,monto_salarios,0)</f>
        <v>75</v>
      </c>
      <c r="F356" s="72">
        <v>0.0</v>
      </c>
      <c r="G356" s="74">
        <v>0.0</v>
      </c>
      <c r="H356" s="84">
        <f t="shared" si="1"/>
        <v>75</v>
      </c>
      <c r="I356" s="76" t="str">
        <f t="shared" si="2"/>
        <v>diciembre</v>
      </c>
      <c r="J356" s="76">
        <f t="shared" si="3"/>
        <v>2025</v>
      </c>
    </row>
    <row r="357" ht="22.5" customHeight="1">
      <c r="A357" s="69">
        <v>46011.0</v>
      </c>
      <c r="B357" s="70" t="s">
        <v>79</v>
      </c>
      <c r="C357" s="70" t="s">
        <v>143</v>
      </c>
      <c r="D357" s="70" t="s">
        <v>189</v>
      </c>
      <c r="E357" s="84">
        <f t="array" ref="E357">XLOOKUP($D357,concepto_salarios,monto_salarios,0)</f>
        <v>100</v>
      </c>
      <c r="F357" s="72">
        <v>0.0</v>
      </c>
      <c r="G357" s="74">
        <v>0.0</v>
      </c>
      <c r="H357" s="84">
        <f t="shared" si="1"/>
        <v>100</v>
      </c>
      <c r="I357" s="76" t="str">
        <f t="shared" si="2"/>
        <v>diciembre</v>
      </c>
      <c r="J357" s="76">
        <f t="shared" si="3"/>
        <v>2025</v>
      </c>
    </row>
    <row r="358" ht="22.5" customHeight="1">
      <c r="A358" s="69">
        <v>46011.0</v>
      </c>
      <c r="B358" s="70" t="s">
        <v>79</v>
      </c>
      <c r="C358" s="70" t="s">
        <v>143</v>
      </c>
      <c r="D358" s="70" t="s">
        <v>184</v>
      </c>
      <c r="E358" s="84">
        <f t="array" ref="E358">XLOOKUP($D358,concepto_salarios,monto_salarios,0)</f>
        <v>120</v>
      </c>
      <c r="F358" s="72">
        <v>0.0</v>
      </c>
      <c r="G358" s="74">
        <v>0.0</v>
      </c>
      <c r="H358" s="84">
        <f t="shared" si="1"/>
        <v>120</v>
      </c>
      <c r="I358" s="76" t="str">
        <f t="shared" si="2"/>
        <v>diciembre</v>
      </c>
      <c r="J358" s="76">
        <f t="shared" si="3"/>
        <v>2025</v>
      </c>
    </row>
    <row r="359" ht="22.5" customHeight="1">
      <c r="A359" s="69">
        <v>46011.0</v>
      </c>
      <c r="B359" s="70" t="s">
        <v>79</v>
      </c>
      <c r="C359" s="70" t="s">
        <v>140</v>
      </c>
      <c r="D359" s="70" t="s">
        <v>198</v>
      </c>
      <c r="E359" s="84">
        <f t="array" ref="E359">XLOOKUP($D359,concepto_salarios,monto_salarios,0)</f>
        <v>200</v>
      </c>
      <c r="F359" s="72">
        <v>0.0</v>
      </c>
      <c r="G359" s="74">
        <v>0.0</v>
      </c>
      <c r="H359" s="84">
        <f t="shared" si="1"/>
        <v>200</v>
      </c>
      <c r="I359" s="76" t="str">
        <f t="shared" si="2"/>
        <v>diciembre</v>
      </c>
      <c r="J359" s="76">
        <f t="shared" si="3"/>
        <v>2025</v>
      </c>
    </row>
    <row r="360" ht="22.5" customHeight="1">
      <c r="A360" s="69">
        <v>46011.0</v>
      </c>
      <c r="B360" s="70" t="s">
        <v>79</v>
      </c>
      <c r="C360" s="70" t="s">
        <v>140</v>
      </c>
      <c r="D360" s="70" t="s">
        <v>198</v>
      </c>
      <c r="E360" s="84">
        <f t="array" ref="E360">XLOOKUP($D360,concepto_salarios,monto_salarios,0)</f>
        <v>200</v>
      </c>
      <c r="F360" s="72">
        <v>0.0</v>
      </c>
      <c r="G360" s="74">
        <v>0.0</v>
      </c>
      <c r="H360" s="84">
        <f t="shared" si="1"/>
        <v>200</v>
      </c>
      <c r="I360" s="76" t="str">
        <f t="shared" si="2"/>
        <v>diciembre</v>
      </c>
      <c r="J360" s="76">
        <f t="shared" si="3"/>
        <v>2025</v>
      </c>
    </row>
    <row r="361" ht="22.5" customHeight="1">
      <c r="A361" s="69">
        <v>46011.0</v>
      </c>
      <c r="B361" s="70" t="s">
        <v>79</v>
      </c>
      <c r="C361" s="70" t="s">
        <v>163</v>
      </c>
      <c r="D361" s="70" t="s">
        <v>196</v>
      </c>
      <c r="E361" s="84">
        <f t="array" ref="E361">XLOOKUP($D361,concepto_salarios,monto_salarios,0)</f>
        <v>100</v>
      </c>
      <c r="F361" s="72">
        <v>0.0</v>
      </c>
      <c r="G361" s="74">
        <v>0.0</v>
      </c>
      <c r="H361" s="84">
        <f t="shared" si="1"/>
        <v>100</v>
      </c>
      <c r="I361" s="76" t="str">
        <f t="shared" si="2"/>
        <v>diciembre</v>
      </c>
      <c r="J361" s="76">
        <f t="shared" si="3"/>
        <v>2025</v>
      </c>
    </row>
    <row r="362" ht="22.5" customHeight="1">
      <c r="A362" s="69">
        <v>46011.0</v>
      </c>
      <c r="B362" s="70" t="s">
        <v>51</v>
      </c>
      <c r="C362" s="70" t="s">
        <v>142</v>
      </c>
      <c r="D362" s="70" t="s">
        <v>185</v>
      </c>
      <c r="E362" s="84">
        <f t="array" ref="E362">XLOOKUP($D362,concepto_salarios,monto_salarios,0)</f>
        <v>1080</v>
      </c>
      <c r="F362" s="72">
        <v>0.0</v>
      </c>
      <c r="G362" s="74">
        <v>0.0</v>
      </c>
      <c r="H362" s="84">
        <f t="shared" si="1"/>
        <v>1080</v>
      </c>
      <c r="I362" s="76" t="str">
        <f t="shared" si="2"/>
        <v>diciembre</v>
      </c>
      <c r="J362" s="76">
        <f t="shared" si="3"/>
        <v>2025</v>
      </c>
    </row>
    <row r="363" ht="22.5" customHeight="1">
      <c r="A363" s="69">
        <v>46011.0</v>
      </c>
      <c r="B363" s="70" t="s">
        <v>51</v>
      </c>
      <c r="C363" s="70" t="s">
        <v>148</v>
      </c>
      <c r="D363" s="70" t="s">
        <v>186</v>
      </c>
      <c r="E363" s="84">
        <f t="array" ref="E363">XLOOKUP($D363,concepto_salarios,monto_salarios,0)</f>
        <v>375</v>
      </c>
      <c r="F363" s="72">
        <v>0.0</v>
      </c>
      <c r="G363" s="74">
        <v>0.0</v>
      </c>
      <c r="H363" s="84">
        <f t="shared" si="1"/>
        <v>375</v>
      </c>
      <c r="I363" s="76" t="str">
        <f t="shared" si="2"/>
        <v>diciembre</v>
      </c>
      <c r="J363" s="76">
        <f t="shared" si="3"/>
        <v>2025</v>
      </c>
    </row>
    <row r="364" ht="22.5" customHeight="1">
      <c r="A364" s="69">
        <v>46011.0</v>
      </c>
      <c r="B364" s="70" t="s">
        <v>61</v>
      </c>
      <c r="C364" s="70" t="s">
        <v>140</v>
      </c>
      <c r="D364" s="70" t="s">
        <v>145</v>
      </c>
      <c r="E364" s="84">
        <f t="array" ref="E364">XLOOKUP($D364,concepto_salarios,monto_salarios,0)</f>
        <v>350</v>
      </c>
      <c r="F364" s="72">
        <v>0.0</v>
      </c>
      <c r="G364" s="74">
        <v>0.0</v>
      </c>
      <c r="H364" s="84">
        <f t="shared" si="1"/>
        <v>350</v>
      </c>
      <c r="I364" s="76" t="str">
        <f t="shared" si="2"/>
        <v>diciembre</v>
      </c>
      <c r="J364" s="76">
        <f t="shared" si="3"/>
        <v>2025</v>
      </c>
    </row>
    <row r="365" ht="22.5" customHeight="1">
      <c r="A365" s="69">
        <v>46011.0</v>
      </c>
      <c r="B365" s="70" t="s">
        <v>61</v>
      </c>
      <c r="C365" s="70" t="s">
        <v>143</v>
      </c>
      <c r="D365" s="70" t="s">
        <v>179</v>
      </c>
      <c r="E365" s="84">
        <f t="array" ref="E365">XLOOKUP($D365,concepto_salarios,monto_salarios,0)</f>
        <v>50</v>
      </c>
      <c r="F365" s="72">
        <v>0.0</v>
      </c>
      <c r="G365" s="74">
        <v>0.0</v>
      </c>
      <c r="H365" s="84">
        <f t="shared" si="1"/>
        <v>50</v>
      </c>
      <c r="I365" s="76" t="str">
        <f t="shared" si="2"/>
        <v>diciembre</v>
      </c>
      <c r="J365" s="76">
        <f t="shared" si="3"/>
        <v>2025</v>
      </c>
    </row>
    <row r="366" ht="22.5" customHeight="1">
      <c r="A366" s="69">
        <v>46011.0</v>
      </c>
      <c r="B366" s="70" t="s">
        <v>61</v>
      </c>
      <c r="C366" s="70" t="s">
        <v>140</v>
      </c>
      <c r="D366" s="70" t="s">
        <v>199</v>
      </c>
      <c r="E366" s="84">
        <f t="array" ref="E366">XLOOKUP($D366,concepto_salarios,monto_salarios,0)</f>
        <v>100</v>
      </c>
      <c r="F366" s="72">
        <v>0.0</v>
      </c>
      <c r="G366" s="74">
        <v>0.0</v>
      </c>
      <c r="H366" s="84">
        <f t="shared" si="1"/>
        <v>100</v>
      </c>
      <c r="I366" s="76" t="str">
        <f t="shared" si="2"/>
        <v>diciembre</v>
      </c>
      <c r="J366" s="76">
        <f t="shared" si="3"/>
        <v>2025</v>
      </c>
    </row>
    <row r="367" ht="22.5" customHeight="1">
      <c r="A367" s="69">
        <v>46011.0</v>
      </c>
      <c r="B367" s="70" t="s">
        <v>61</v>
      </c>
      <c r="C367" s="70" t="s">
        <v>140</v>
      </c>
      <c r="D367" s="70" t="s">
        <v>141</v>
      </c>
      <c r="E367" s="84">
        <f t="array" ref="E367">XLOOKUP($D367,concepto_salarios,monto_salarios,0)</f>
        <v>250</v>
      </c>
      <c r="F367" s="72">
        <v>0.0</v>
      </c>
      <c r="G367" s="74">
        <v>0.0</v>
      </c>
      <c r="H367" s="84">
        <f t="shared" si="1"/>
        <v>250</v>
      </c>
      <c r="I367" s="76" t="str">
        <f t="shared" si="2"/>
        <v>diciembre</v>
      </c>
      <c r="J367" s="76">
        <f t="shared" si="3"/>
        <v>2025</v>
      </c>
    </row>
    <row r="368" ht="22.5" customHeight="1">
      <c r="A368" s="69">
        <v>46011.0</v>
      </c>
      <c r="B368" s="70" t="s">
        <v>61</v>
      </c>
      <c r="C368" s="70" t="s">
        <v>163</v>
      </c>
      <c r="D368" s="70" t="s">
        <v>164</v>
      </c>
      <c r="E368" s="84">
        <f t="array" ref="E368">XLOOKUP($D368,concepto_salarios,monto_salarios,0)</f>
        <v>100</v>
      </c>
      <c r="F368" s="72">
        <v>100.0</v>
      </c>
      <c r="G368" s="74">
        <v>0.0</v>
      </c>
      <c r="H368" s="84">
        <f t="shared" si="1"/>
        <v>0</v>
      </c>
      <c r="I368" s="76" t="str">
        <f t="shared" si="2"/>
        <v>diciembre</v>
      </c>
      <c r="J368" s="76">
        <f t="shared" si="3"/>
        <v>2025</v>
      </c>
    </row>
    <row r="369" ht="22.5" customHeight="1">
      <c r="A369" s="69">
        <v>46011.0</v>
      </c>
      <c r="B369" s="70" t="s">
        <v>41</v>
      </c>
      <c r="C369" s="70" t="s">
        <v>148</v>
      </c>
      <c r="D369" s="70" t="s">
        <v>221</v>
      </c>
      <c r="E369" s="84">
        <f t="array" ref="E369">XLOOKUP($D369,concepto_salarios,monto_salarios,0)</f>
        <v>750</v>
      </c>
      <c r="F369" s="72">
        <v>0.0</v>
      </c>
      <c r="G369" s="74">
        <v>0.0</v>
      </c>
      <c r="H369" s="84">
        <f t="shared" si="1"/>
        <v>750</v>
      </c>
      <c r="I369" s="76" t="str">
        <f t="shared" si="2"/>
        <v>diciembre</v>
      </c>
      <c r="J369" s="76">
        <f t="shared" si="3"/>
        <v>2025</v>
      </c>
    </row>
    <row r="370" ht="22.5" customHeight="1">
      <c r="A370" s="69">
        <v>46011.0</v>
      </c>
      <c r="B370" s="70" t="s">
        <v>41</v>
      </c>
      <c r="C370" s="70" t="s">
        <v>140</v>
      </c>
      <c r="D370" s="70" t="s">
        <v>145</v>
      </c>
      <c r="E370" s="84">
        <f t="array" ref="E370">XLOOKUP($D370,concepto_salarios,monto_salarios,0)</f>
        <v>350</v>
      </c>
      <c r="F370" s="72">
        <v>50.0</v>
      </c>
      <c r="G370" s="74">
        <v>0.0</v>
      </c>
      <c r="H370" s="84">
        <f t="shared" si="1"/>
        <v>300</v>
      </c>
      <c r="I370" s="76" t="str">
        <f t="shared" si="2"/>
        <v>diciembre</v>
      </c>
      <c r="J370" s="76">
        <f t="shared" si="3"/>
        <v>2025</v>
      </c>
    </row>
    <row r="371" ht="22.5" customHeight="1">
      <c r="A371" s="69">
        <v>46011.0</v>
      </c>
      <c r="B371" s="70" t="s">
        <v>41</v>
      </c>
      <c r="C371" s="70" t="s">
        <v>163</v>
      </c>
      <c r="D371" s="70" t="s">
        <v>164</v>
      </c>
      <c r="E371" s="84">
        <f t="array" ref="E371">XLOOKUP($D371,concepto_salarios,monto_salarios,0)</f>
        <v>100</v>
      </c>
      <c r="F371" s="72">
        <v>0.0</v>
      </c>
      <c r="G371" s="74">
        <v>0.0</v>
      </c>
      <c r="H371" s="84">
        <f t="shared" si="1"/>
        <v>100</v>
      </c>
      <c r="I371" s="76" t="str">
        <f t="shared" si="2"/>
        <v>diciembre</v>
      </c>
      <c r="J371" s="76">
        <f t="shared" si="3"/>
        <v>2025</v>
      </c>
    </row>
    <row r="372" ht="22.5" customHeight="1">
      <c r="A372" s="69">
        <v>46011.0</v>
      </c>
      <c r="B372" s="70" t="s">
        <v>41</v>
      </c>
      <c r="C372" s="70" t="s">
        <v>148</v>
      </c>
      <c r="D372" s="70" t="s">
        <v>205</v>
      </c>
      <c r="E372" s="84">
        <f t="array" ref="E372">XLOOKUP($D372,concepto_salarios,monto_salarios,0)</f>
        <v>375</v>
      </c>
      <c r="F372" s="72">
        <v>0.0</v>
      </c>
      <c r="G372" s="74">
        <v>100.0</v>
      </c>
      <c r="H372" s="84">
        <f t="shared" si="1"/>
        <v>475</v>
      </c>
      <c r="I372" s="76" t="str">
        <f t="shared" si="2"/>
        <v>diciembre</v>
      </c>
      <c r="J372" s="76">
        <f t="shared" si="3"/>
        <v>2025</v>
      </c>
    </row>
    <row r="373" ht="22.5" customHeight="1">
      <c r="A373" s="69">
        <v>46011.0</v>
      </c>
      <c r="B373" s="70" t="s">
        <v>73</v>
      </c>
      <c r="C373" s="70" t="s">
        <v>143</v>
      </c>
      <c r="D373" s="70" t="s">
        <v>181</v>
      </c>
      <c r="E373" s="84">
        <f t="array" ref="E373">XLOOKUP($D373,concepto_salarios,monto_salarios,0)</f>
        <v>75</v>
      </c>
      <c r="F373" s="72">
        <v>0.0</v>
      </c>
      <c r="G373" s="74">
        <v>0.0</v>
      </c>
      <c r="H373" s="84">
        <f t="shared" si="1"/>
        <v>75</v>
      </c>
      <c r="I373" s="76" t="str">
        <f t="shared" si="2"/>
        <v>diciembre</v>
      </c>
      <c r="J373" s="76">
        <f t="shared" si="3"/>
        <v>2025</v>
      </c>
    </row>
    <row r="374" ht="22.5" customHeight="1">
      <c r="A374" s="69">
        <v>46011.0</v>
      </c>
      <c r="B374" s="70" t="s">
        <v>73</v>
      </c>
      <c r="C374" s="70" t="s">
        <v>143</v>
      </c>
      <c r="D374" s="70" t="s">
        <v>189</v>
      </c>
      <c r="E374" s="84">
        <f t="array" ref="E374">XLOOKUP($D374,concepto_salarios,monto_salarios,0)</f>
        <v>100</v>
      </c>
      <c r="F374" s="72">
        <v>0.0</v>
      </c>
      <c r="G374" s="74">
        <v>0.0</v>
      </c>
      <c r="H374" s="84">
        <f t="shared" si="1"/>
        <v>100</v>
      </c>
      <c r="I374" s="76" t="str">
        <f t="shared" si="2"/>
        <v>diciembre</v>
      </c>
      <c r="J374" s="76">
        <f t="shared" si="3"/>
        <v>2025</v>
      </c>
    </row>
    <row r="375" ht="22.5" customHeight="1">
      <c r="A375" s="69">
        <v>46011.0</v>
      </c>
      <c r="B375" s="70" t="s">
        <v>73</v>
      </c>
      <c r="C375" s="70" t="s">
        <v>143</v>
      </c>
      <c r="D375" s="70" t="s">
        <v>184</v>
      </c>
      <c r="E375" s="84">
        <f t="array" ref="E375">XLOOKUP($D375,concepto_salarios,monto_salarios,0)</f>
        <v>120</v>
      </c>
      <c r="F375" s="72">
        <v>0.0</v>
      </c>
      <c r="G375" s="74">
        <v>0.0</v>
      </c>
      <c r="H375" s="84">
        <f t="shared" si="1"/>
        <v>120</v>
      </c>
      <c r="I375" s="76" t="str">
        <f t="shared" si="2"/>
        <v>diciembre</v>
      </c>
      <c r="J375" s="76">
        <f t="shared" si="3"/>
        <v>2025</v>
      </c>
    </row>
    <row r="376" ht="22.5" customHeight="1">
      <c r="A376" s="69">
        <v>46011.0</v>
      </c>
      <c r="B376" s="70" t="s">
        <v>73</v>
      </c>
      <c r="C376" s="70" t="s">
        <v>140</v>
      </c>
      <c r="D376" s="70" t="s">
        <v>198</v>
      </c>
      <c r="E376" s="84">
        <f t="array" ref="E376">XLOOKUP($D376,concepto_salarios,monto_salarios,0)</f>
        <v>200</v>
      </c>
      <c r="F376" s="72">
        <v>0.0</v>
      </c>
      <c r="G376" s="74">
        <v>0.0</v>
      </c>
      <c r="H376" s="84">
        <f t="shared" si="1"/>
        <v>200</v>
      </c>
      <c r="I376" s="76" t="str">
        <f t="shared" si="2"/>
        <v>diciembre</v>
      </c>
      <c r="J376" s="76">
        <f t="shared" si="3"/>
        <v>2025</v>
      </c>
    </row>
    <row r="377" ht="22.5" customHeight="1">
      <c r="A377" s="69">
        <v>46011.0</v>
      </c>
      <c r="B377" s="70" t="s">
        <v>73</v>
      </c>
      <c r="C377" s="70" t="s">
        <v>140</v>
      </c>
      <c r="D377" s="70" t="s">
        <v>198</v>
      </c>
      <c r="E377" s="84">
        <f t="array" ref="E377">XLOOKUP($D377,concepto_salarios,monto_salarios,0)</f>
        <v>200</v>
      </c>
      <c r="F377" s="72">
        <v>0.0</v>
      </c>
      <c r="G377" s="74">
        <v>0.0</v>
      </c>
      <c r="H377" s="84">
        <f t="shared" si="1"/>
        <v>200</v>
      </c>
      <c r="I377" s="76" t="str">
        <f t="shared" si="2"/>
        <v>diciembre</v>
      </c>
      <c r="J377" s="76">
        <f t="shared" si="3"/>
        <v>2025</v>
      </c>
    </row>
    <row r="378" ht="22.5" customHeight="1">
      <c r="A378" s="69">
        <v>46011.0</v>
      </c>
      <c r="B378" s="70" t="s">
        <v>73</v>
      </c>
      <c r="C378" s="70" t="s">
        <v>163</v>
      </c>
      <c r="D378" s="70" t="s">
        <v>196</v>
      </c>
      <c r="E378" s="84">
        <f t="array" ref="E378">XLOOKUP($D378,concepto_salarios,monto_salarios,0)</f>
        <v>100</v>
      </c>
      <c r="F378" s="72">
        <v>0.0</v>
      </c>
      <c r="G378" s="74">
        <v>0.0</v>
      </c>
      <c r="H378" s="84">
        <f t="shared" si="1"/>
        <v>100</v>
      </c>
      <c r="I378" s="76" t="str">
        <f t="shared" si="2"/>
        <v>diciembre</v>
      </c>
      <c r="J378" s="76">
        <f t="shared" si="3"/>
        <v>2025</v>
      </c>
    </row>
    <row r="379" ht="22.5" customHeight="1">
      <c r="A379" s="69">
        <v>46011.0</v>
      </c>
      <c r="B379" s="70" t="s">
        <v>70</v>
      </c>
      <c r="C379" s="70" t="s">
        <v>140</v>
      </c>
      <c r="D379" s="70" t="s">
        <v>145</v>
      </c>
      <c r="E379" s="84">
        <f t="array" ref="E379">XLOOKUP($D379,concepto_salarios,monto_salarios,0)</f>
        <v>350</v>
      </c>
      <c r="F379" s="72">
        <v>0.0</v>
      </c>
      <c r="G379" s="74">
        <v>0.0</v>
      </c>
      <c r="H379" s="84">
        <f t="shared" si="1"/>
        <v>350</v>
      </c>
      <c r="I379" s="76" t="str">
        <f t="shared" si="2"/>
        <v>diciembre</v>
      </c>
      <c r="J379" s="76">
        <f t="shared" si="3"/>
        <v>2025</v>
      </c>
    </row>
    <row r="380" ht="22.5" customHeight="1">
      <c r="A380" s="69">
        <v>46011.0</v>
      </c>
      <c r="B380" s="70" t="s">
        <v>70</v>
      </c>
      <c r="C380" s="70" t="s">
        <v>143</v>
      </c>
      <c r="D380" s="70" t="s">
        <v>179</v>
      </c>
      <c r="E380" s="84">
        <f t="array" ref="E380">XLOOKUP($D380,concepto_salarios,monto_salarios,0)</f>
        <v>50</v>
      </c>
      <c r="F380" s="72">
        <v>0.0</v>
      </c>
      <c r="G380" s="74">
        <v>0.0</v>
      </c>
      <c r="H380" s="84">
        <f t="shared" si="1"/>
        <v>50</v>
      </c>
      <c r="I380" s="76" t="str">
        <f t="shared" si="2"/>
        <v>diciembre</v>
      </c>
      <c r="J380" s="76">
        <f t="shared" si="3"/>
        <v>2025</v>
      </c>
    </row>
    <row r="381" ht="22.5" customHeight="1">
      <c r="A381" s="69">
        <v>46011.0</v>
      </c>
      <c r="B381" s="70" t="s">
        <v>70</v>
      </c>
      <c r="C381" s="70" t="s">
        <v>140</v>
      </c>
      <c r="D381" s="70" t="s">
        <v>199</v>
      </c>
      <c r="E381" s="84">
        <f t="array" ref="E381">XLOOKUP($D381,concepto_salarios,monto_salarios,0)</f>
        <v>100</v>
      </c>
      <c r="F381" s="72">
        <v>0.0</v>
      </c>
      <c r="G381" s="74">
        <v>0.0</v>
      </c>
      <c r="H381" s="84">
        <f t="shared" si="1"/>
        <v>100</v>
      </c>
      <c r="I381" s="76" t="str">
        <f t="shared" si="2"/>
        <v>diciembre</v>
      </c>
      <c r="J381" s="76">
        <f t="shared" si="3"/>
        <v>2025</v>
      </c>
    </row>
    <row r="382" ht="22.5" customHeight="1">
      <c r="A382" s="69">
        <v>46011.0</v>
      </c>
      <c r="B382" s="70" t="s">
        <v>70</v>
      </c>
      <c r="C382" s="70" t="s">
        <v>140</v>
      </c>
      <c r="D382" s="70" t="s">
        <v>145</v>
      </c>
      <c r="E382" s="84">
        <f t="array" ref="E382">XLOOKUP($D382,concepto_salarios,monto_salarios,0)</f>
        <v>350</v>
      </c>
      <c r="F382" s="72">
        <v>0.0</v>
      </c>
      <c r="G382" s="74">
        <v>0.0</v>
      </c>
      <c r="H382" s="84">
        <f t="shared" si="1"/>
        <v>350</v>
      </c>
      <c r="I382" s="76" t="str">
        <f t="shared" si="2"/>
        <v>diciembre</v>
      </c>
      <c r="J382" s="76">
        <f t="shared" si="3"/>
        <v>2025</v>
      </c>
    </row>
    <row r="383" ht="22.5" customHeight="1">
      <c r="A383" s="69">
        <v>46011.0</v>
      </c>
      <c r="B383" s="70" t="s">
        <v>70</v>
      </c>
      <c r="C383" s="70" t="s">
        <v>163</v>
      </c>
      <c r="D383" s="70" t="s">
        <v>203</v>
      </c>
      <c r="E383" s="84">
        <f t="array" ref="E383">XLOOKUP($D383,concepto_salarios,monto_salarios,0)</f>
        <v>250</v>
      </c>
      <c r="F383" s="72">
        <v>0.0</v>
      </c>
      <c r="G383" s="74">
        <v>0.0</v>
      </c>
      <c r="H383" s="84">
        <f t="shared" si="1"/>
        <v>250</v>
      </c>
      <c r="I383" s="76" t="str">
        <f t="shared" si="2"/>
        <v>diciembre</v>
      </c>
      <c r="J383" s="76">
        <f t="shared" si="3"/>
        <v>2025</v>
      </c>
    </row>
    <row r="384" ht="22.5" customHeight="1">
      <c r="A384" s="69">
        <v>46011.0</v>
      </c>
      <c r="B384" s="70" t="s">
        <v>70</v>
      </c>
      <c r="C384" s="70" t="s">
        <v>163</v>
      </c>
      <c r="D384" s="70" t="s">
        <v>196</v>
      </c>
      <c r="E384" s="84">
        <f t="array" ref="E384">XLOOKUP($D384,concepto_salarios,monto_salarios,0)</f>
        <v>100</v>
      </c>
      <c r="F384" s="72">
        <v>0.0</v>
      </c>
      <c r="G384" s="74">
        <v>0.0</v>
      </c>
      <c r="H384" s="84">
        <f t="shared" si="1"/>
        <v>100</v>
      </c>
      <c r="I384" s="76" t="str">
        <f t="shared" si="2"/>
        <v>diciembre</v>
      </c>
      <c r="J384" s="76">
        <f t="shared" si="3"/>
        <v>2025</v>
      </c>
    </row>
    <row r="385" ht="22.5" customHeight="1">
      <c r="A385" s="69">
        <v>46011.0</v>
      </c>
      <c r="B385" s="70" t="s">
        <v>66</v>
      </c>
      <c r="C385" s="70" t="s">
        <v>142</v>
      </c>
      <c r="D385" s="70" t="s">
        <v>190</v>
      </c>
      <c r="E385" s="84">
        <f t="array" ref="E385">XLOOKUP($D385,concepto_salarios,monto_salarios,0)</f>
        <v>870</v>
      </c>
      <c r="F385" s="72">
        <v>150.0</v>
      </c>
      <c r="G385" s="74">
        <v>0.0</v>
      </c>
      <c r="H385" s="84">
        <f t="shared" si="1"/>
        <v>720</v>
      </c>
      <c r="I385" s="76" t="str">
        <f t="shared" si="2"/>
        <v>diciembre</v>
      </c>
      <c r="J385" s="76">
        <f t="shared" si="3"/>
        <v>2025</v>
      </c>
    </row>
    <row r="386" ht="22.5" customHeight="1">
      <c r="A386" s="69">
        <v>46011.0</v>
      </c>
      <c r="B386" s="70" t="s">
        <v>66</v>
      </c>
      <c r="C386" s="70" t="s">
        <v>143</v>
      </c>
      <c r="D386" s="70" t="s">
        <v>168</v>
      </c>
      <c r="E386" s="84">
        <f t="array" ref="E386">XLOOKUP($D386,concepto_salarios,monto_salarios,0)</f>
        <v>75</v>
      </c>
      <c r="F386" s="72">
        <v>0.0</v>
      </c>
      <c r="G386" s="74">
        <v>0.0</v>
      </c>
      <c r="H386" s="84">
        <f t="shared" si="1"/>
        <v>75</v>
      </c>
      <c r="I386" s="76" t="str">
        <f t="shared" si="2"/>
        <v>diciembre</v>
      </c>
      <c r="J386" s="76">
        <f t="shared" si="3"/>
        <v>2025</v>
      </c>
    </row>
    <row r="387" ht="22.5" customHeight="1">
      <c r="A387" s="69">
        <v>46011.0</v>
      </c>
      <c r="B387" s="70" t="s">
        <v>56</v>
      </c>
      <c r="C387" s="70" t="s">
        <v>142</v>
      </c>
      <c r="D387" s="70" t="s">
        <v>207</v>
      </c>
      <c r="E387" s="84">
        <f t="array" ref="E387">XLOOKUP($D387,concepto_salarios,monto_salarios,0)</f>
        <v>606</v>
      </c>
      <c r="F387" s="72">
        <v>6.0</v>
      </c>
      <c r="G387" s="74">
        <v>0.0</v>
      </c>
      <c r="H387" s="84">
        <f t="shared" si="1"/>
        <v>600</v>
      </c>
      <c r="I387" s="76" t="str">
        <f t="shared" si="2"/>
        <v>diciembre</v>
      </c>
      <c r="J387" s="76">
        <f t="shared" si="3"/>
        <v>2025</v>
      </c>
    </row>
    <row r="388" ht="22.5" customHeight="1">
      <c r="A388" s="69">
        <v>46012.0</v>
      </c>
      <c r="B388" s="70" t="s">
        <v>46</v>
      </c>
      <c r="C388" s="70" t="s">
        <v>142</v>
      </c>
      <c r="D388" s="70" t="s">
        <v>243</v>
      </c>
      <c r="E388" s="84">
        <f t="array" ref="E388">XLOOKUP($D388,concepto_salarios,monto_salarios,0)</f>
        <v>1050</v>
      </c>
      <c r="F388" s="72">
        <v>0.0</v>
      </c>
      <c r="G388" s="74">
        <v>0.0</v>
      </c>
      <c r="H388" s="84">
        <f t="shared" si="1"/>
        <v>1050</v>
      </c>
      <c r="I388" s="76" t="str">
        <f t="shared" si="2"/>
        <v>diciembre</v>
      </c>
      <c r="J388" s="76">
        <f t="shared" si="3"/>
        <v>2025</v>
      </c>
    </row>
    <row r="389" ht="22.5" customHeight="1">
      <c r="A389" s="69">
        <v>46012.0</v>
      </c>
      <c r="B389" s="70" t="s">
        <v>51</v>
      </c>
      <c r="C389" s="70" t="s">
        <v>142</v>
      </c>
      <c r="D389" s="70" t="s">
        <v>204</v>
      </c>
      <c r="E389" s="84">
        <f t="array" ref="E389">XLOOKUP($D389,concepto_salarios,monto_salarios,0)</f>
        <v>684</v>
      </c>
      <c r="F389" s="72">
        <v>0.0</v>
      </c>
      <c r="G389" s="74">
        <v>0.0</v>
      </c>
      <c r="H389" s="84">
        <f t="shared" si="1"/>
        <v>684</v>
      </c>
      <c r="I389" s="76" t="str">
        <f t="shared" si="2"/>
        <v>diciembre</v>
      </c>
      <c r="J389" s="76">
        <f t="shared" si="3"/>
        <v>2025</v>
      </c>
    </row>
    <row r="390" ht="22.5" customHeight="1">
      <c r="A390" s="69">
        <v>46012.0</v>
      </c>
      <c r="B390" s="70" t="s">
        <v>73</v>
      </c>
      <c r="C390" s="70" t="s">
        <v>140</v>
      </c>
      <c r="D390" s="70" t="s">
        <v>201</v>
      </c>
      <c r="E390" s="84">
        <f t="array" ref="E390">XLOOKUP($D390,concepto_salarios,monto_salarios,0)</f>
        <v>100</v>
      </c>
      <c r="F390" s="72">
        <v>0.0</v>
      </c>
      <c r="G390" s="74">
        <v>0.0</v>
      </c>
      <c r="H390" s="84">
        <f t="shared" si="1"/>
        <v>100</v>
      </c>
      <c r="I390" s="76" t="str">
        <f t="shared" si="2"/>
        <v>diciembre</v>
      </c>
      <c r="J390" s="76">
        <f t="shared" si="3"/>
        <v>2025</v>
      </c>
    </row>
    <row r="391" ht="22.5" customHeight="1">
      <c r="A391" s="69">
        <v>46012.0</v>
      </c>
      <c r="B391" s="70" t="s">
        <v>73</v>
      </c>
      <c r="C391" s="70" t="s">
        <v>143</v>
      </c>
      <c r="D391" s="70" t="s">
        <v>183</v>
      </c>
      <c r="E391" s="84">
        <f t="array" ref="E391">XLOOKUP($D391,concepto_salarios,monto_salarios,0)</f>
        <v>50</v>
      </c>
      <c r="F391" s="72">
        <v>0.0</v>
      </c>
      <c r="G391" s="74">
        <v>0.0</v>
      </c>
      <c r="H391" s="84">
        <f t="shared" si="1"/>
        <v>50</v>
      </c>
      <c r="I391" s="76" t="str">
        <f t="shared" si="2"/>
        <v>diciembre</v>
      </c>
      <c r="J391" s="76">
        <f t="shared" si="3"/>
        <v>2025</v>
      </c>
    </row>
    <row r="392" ht="22.5" customHeight="1">
      <c r="A392" s="69">
        <v>46012.0</v>
      </c>
      <c r="B392" s="70" t="s">
        <v>73</v>
      </c>
      <c r="C392" s="70" t="s">
        <v>143</v>
      </c>
      <c r="D392" s="70" t="s">
        <v>178</v>
      </c>
      <c r="E392" s="84">
        <f t="array" ref="E392">XLOOKUP($D392,concepto_salarios,monto_salarios,0)</f>
        <v>60</v>
      </c>
      <c r="F392" s="72">
        <v>0.0</v>
      </c>
      <c r="G392" s="74">
        <v>0.0</v>
      </c>
      <c r="H392" s="84">
        <f t="shared" si="1"/>
        <v>60</v>
      </c>
      <c r="I392" s="76" t="str">
        <f t="shared" si="2"/>
        <v>diciembre</v>
      </c>
      <c r="J392" s="76">
        <f t="shared" si="3"/>
        <v>2025</v>
      </c>
    </row>
    <row r="393" ht="22.5" customHeight="1">
      <c r="A393" s="69">
        <v>46012.0</v>
      </c>
      <c r="B393" s="70" t="s">
        <v>73</v>
      </c>
      <c r="C393" s="70" t="s">
        <v>143</v>
      </c>
      <c r="D393" s="70" t="s">
        <v>181</v>
      </c>
      <c r="E393" s="84">
        <f t="array" ref="E393">XLOOKUP($D393,concepto_salarios,monto_salarios,0)</f>
        <v>75</v>
      </c>
      <c r="F393" s="72">
        <v>0.0</v>
      </c>
      <c r="G393" s="74">
        <v>0.0</v>
      </c>
      <c r="H393" s="84">
        <f t="shared" si="1"/>
        <v>75</v>
      </c>
      <c r="I393" s="76" t="str">
        <f t="shared" si="2"/>
        <v>diciembre</v>
      </c>
      <c r="J393" s="76">
        <f t="shared" si="3"/>
        <v>2025</v>
      </c>
    </row>
    <row r="394" ht="22.5" customHeight="1">
      <c r="A394" s="69">
        <v>46012.0</v>
      </c>
      <c r="B394" s="70" t="s">
        <v>73</v>
      </c>
      <c r="C394" s="70" t="s">
        <v>143</v>
      </c>
      <c r="D394" s="70" t="s">
        <v>171</v>
      </c>
      <c r="E394" s="84">
        <f t="array" ref="E394">XLOOKUP($D394,concepto_salarios,monto_salarios,0)</f>
        <v>100</v>
      </c>
      <c r="F394" s="72">
        <v>0.0</v>
      </c>
      <c r="G394" s="74">
        <v>0.0</v>
      </c>
      <c r="H394" s="84">
        <f t="shared" si="1"/>
        <v>100</v>
      </c>
      <c r="I394" s="76" t="str">
        <f t="shared" si="2"/>
        <v>diciembre</v>
      </c>
      <c r="J394" s="76">
        <f t="shared" si="3"/>
        <v>2025</v>
      </c>
    </row>
    <row r="395" ht="22.5" customHeight="1">
      <c r="A395" s="69">
        <v>46012.0</v>
      </c>
      <c r="B395" s="70" t="s">
        <v>73</v>
      </c>
      <c r="C395" s="70" t="s">
        <v>143</v>
      </c>
      <c r="D395" s="70" t="s">
        <v>236</v>
      </c>
      <c r="E395" s="84">
        <f t="array" ref="E395">XLOOKUP($D395,concepto_salarios,monto_salarios,0)</f>
        <v>120</v>
      </c>
      <c r="F395" s="72">
        <v>0.0</v>
      </c>
      <c r="G395" s="74">
        <v>0.0</v>
      </c>
      <c r="H395" s="84">
        <f t="shared" si="1"/>
        <v>120</v>
      </c>
      <c r="I395" s="76" t="str">
        <f t="shared" si="2"/>
        <v>diciembre</v>
      </c>
      <c r="J395" s="76">
        <f t="shared" si="3"/>
        <v>2025</v>
      </c>
    </row>
    <row r="396" ht="22.5" customHeight="1">
      <c r="A396" s="69">
        <v>46012.0</v>
      </c>
      <c r="B396" s="70" t="s">
        <v>70</v>
      </c>
      <c r="C396" s="70" t="s">
        <v>140</v>
      </c>
      <c r="D396" s="70" t="s">
        <v>201</v>
      </c>
      <c r="E396" s="84">
        <f t="array" ref="E396">XLOOKUP($D396,concepto_salarios,monto_salarios,0)</f>
        <v>100</v>
      </c>
      <c r="F396" s="72">
        <v>0.0</v>
      </c>
      <c r="G396" s="74">
        <v>0.0</v>
      </c>
      <c r="H396" s="84">
        <f t="shared" si="1"/>
        <v>100</v>
      </c>
      <c r="I396" s="76" t="str">
        <f t="shared" si="2"/>
        <v>diciembre</v>
      </c>
      <c r="J396" s="76">
        <f t="shared" si="3"/>
        <v>2025</v>
      </c>
    </row>
    <row r="397" ht="22.5" customHeight="1">
      <c r="A397" s="69">
        <v>46012.0</v>
      </c>
      <c r="B397" s="70" t="s">
        <v>70</v>
      </c>
      <c r="C397" s="70" t="s">
        <v>143</v>
      </c>
      <c r="D397" s="70" t="s">
        <v>183</v>
      </c>
      <c r="E397" s="84">
        <f t="array" ref="E397">XLOOKUP($D397,concepto_salarios,monto_salarios,0)</f>
        <v>50</v>
      </c>
      <c r="F397" s="72">
        <v>0.0</v>
      </c>
      <c r="G397" s="74">
        <v>0.0</v>
      </c>
      <c r="H397" s="84">
        <f t="shared" si="1"/>
        <v>50</v>
      </c>
      <c r="I397" s="76" t="str">
        <f t="shared" si="2"/>
        <v>diciembre</v>
      </c>
      <c r="J397" s="76">
        <f t="shared" si="3"/>
        <v>2025</v>
      </c>
    </row>
    <row r="398" ht="22.5" customHeight="1">
      <c r="A398" s="69">
        <v>46012.0</v>
      </c>
      <c r="B398" s="70" t="s">
        <v>70</v>
      </c>
      <c r="C398" s="70" t="s">
        <v>143</v>
      </c>
      <c r="D398" s="70" t="s">
        <v>181</v>
      </c>
      <c r="E398" s="84">
        <f t="array" ref="E398">XLOOKUP($D398,concepto_salarios,monto_salarios,0)</f>
        <v>75</v>
      </c>
      <c r="F398" s="72">
        <v>0.0</v>
      </c>
      <c r="G398" s="74">
        <v>0.0</v>
      </c>
      <c r="H398" s="84">
        <f t="shared" si="1"/>
        <v>75</v>
      </c>
      <c r="I398" s="76" t="str">
        <f t="shared" si="2"/>
        <v>diciembre</v>
      </c>
      <c r="J398" s="76">
        <f t="shared" si="3"/>
        <v>2025</v>
      </c>
    </row>
    <row r="399" ht="22.5" customHeight="1">
      <c r="A399" s="69">
        <v>46012.0</v>
      </c>
      <c r="B399" s="70" t="s">
        <v>70</v>
      </c>
      <c r="C399" s="70" t="s">
        <v>142</v>
      </c>
      <c r="D399" s="70" t="s">
        <v>226</v>
      </c>
      <c r="E399" s="84">
        <f t="array" ref="E399">XLOOKUP($D399,concepto_salarios,monto_salarios,0)</f>
        <v>456</v>
      </c>
      <c r="F399" s="72">
        <v>0.0</v>
      </c>
      <c r="G399" s="74">
        <v>0.0</v>
      </c>
      <c r="H399" s="84">
        <f t="shared" si="1"/>
        <v>456</v>
      </c>
      <c r="I399" s="76" t="str">
        <f t="shared" si="2"/>
        <v>diciembre</v>
      </c>
      <c r="J399" s="76">
        <f t="shared" si="3"/>
        <v>2025</v>
      </c>
    </row>
    <row r="400" ht="22.5" customHeight="1">
      <c r="A400" s="69">
        <v>46012.0</v>
      </c>
      <c r="B400" s="70" t="s">
        <v>70</v>
      </c>
      <c r="C400" s="70" t="s">
        <v>143</v>
      </c>
      <c r="D400" s="70" t="s">
        <v>169</v>
      </c>
      <c r="E400" s="84">
        <f t="array" ref="E400">XLOOKUP($D400,concepto_salarios,monto_salarios,0)</f>
        <v>100</v>
      </c>
      <c r="F400" s="72">
        <v>0.0</v>
      </c>
      <c r="G400" s="74">
        <v>0.0</v>
      </c>
      <c r="H400" s="84">
        <f t="shared" si="1"/>
        <v>100</v>
      </c>
      <c r="I400" s="76" t="str">
        <f t="shared" si="2"/>
        <v>diciembre</v>
      </c>
      <c r="J400" s="76">
        <f t="shared" si="3"/>
        <v>2025</v>
      </c>
    </row>
    <row r="401" ht="22.5" customHeight="1">
      <c r="A401" s="88">
        <v>46012.0</v>
      </c>
      <c r="B401" s="82" t="s">
        <v>81</v>
      </c>
      <c r="C401" s="82" t="s">
        <v>143</v>
      </c>
      <c r="D401" s="82" t="s">
        <v>213</v>
      </c>
      <c r="E401" s="84">
        <f t="array" ref="E401">XLOOKUP($D401,concepto_salarios,monto_salarios,0)</f>
        <v>60</v>
      </c>
      <c r="F401" s="90">
        <v>0.0</v>
      </c>
      <c r="G401" s="89">
        <v>20.0</v>
      </c>
      <c r="H401" s="84">
        <f t="shared" si="1"/>
        <v>80</v>
      </c>
      <c r="I401" s="76" t="str">
        <f t="shared" si="2"/>
        <v>diciembre</v>
      </c>
      <c r="J401" s="76">
        <f t="shared" si="3"/>
        <v>2025</v>
      </c>
    </row>
    <row r="402" ht="22.5" customHeight="1">
      <c r="A402" s="69">
        <v>46012.0</v>
      </c>
      <c r="B402" s="70" t="s">
        <v>56</v>
      </c>
      <c r="C402" s="70" t="s">
        <v>142</v>
      </c>
      <c r="D402" s="70" t="s">
        <v>243</v>
      </c>
      <c r="E402" s="84">
        <f t="array" ref="E402">XLOOKUP($D402,concepto_salarios,monto_salarios,0)</f>
        <v>1050</v>
      </c>
      <c r="F402" s="72">
        <v>0.0</v>
      </c>
      <c r="G402" s="74">
        <v>0.0</v>
      </c>
      <c r="H402" s="84">
        <f t="shared" si="1"/>
        <v>1050</v>
      </c>
      <c r="I402" s="76" t="str">
        <f t="shared" si="2"/>
        <v>diciembre</v>
      </c>
      <c r="J402" s="76">
        <f t="shared" si="3"/>
        <v>2025</v>
      </c>
    </row>
    <row r="403" ht="22.5" customHeight="1">
      <c r="A403" s="69">
        <v>46014.0</v>
      </c>
      <c r="B403" s="70" t="s">
        <v>46</v>
      </c>
      <c r="C403" s="70" t="s">
        <v>143</v>
      </c>
      <c r="D403" s="70" t="s">
        <v>194</v>
      </c>
      <c r="E403" s="84">
        <f t="array" ref="E403">XLOOKUP($D403,concepto_salarios,monto_salarios,0)</f>
        <v>90</v>
      </c>
      <c r="F403" s="72">
        <v>0.0</v>
      </c>
      <c r="G403" s="74">
        <v>0.0</v>
      </c>
      <c r="H403" s="84">
        <f t="shared" si="1"/>
        <v>90</v>
      </c>
      <c r="I403" s="76" t="str">
        <f t="shared" si="2"/>
        <v>diciembre</v>
      </c>
      <c r="J403" s="76">
        <f t="shared" si="3"/>
        <v>2025</v>
      </c>
    </row>
    <row r="404" ht="22.5" customHeight="1">
      <c r="A404" s="69">
        <v>46014.0</v>
      </c>
      <c r="B404" s="70" t="s">
        <v>79</v>
      </c>
      <c r="C404" s="70" t="s">
        <v>143</v>
      </c>
      <c r="D404" s="70" t="s">
        <v>231</v>
      </c>
      <c r="E404" s="84">
        <f t="array" ref="E404">XLOOKUP($D404,concepto_salarios,monto_salarios,0)</f>
        <v>50</v>
      </c>
      <c r="F404" s="72">
        <v>0.0</v>
      </c>
      <c r="G404" s="74">
        <v>0.0</v>
      </c>
      <c r="H404" s="84">
        <f t="shared" si="1"/>
        <v>50</v>
      </c>
      <c r="I404" s="76" t="str">
        <f t="shared" si="2"/>
        <v>diciembre</v>
      </c>
      <c r="J404" s="76">
        <f t="shared" si="3"/>
        <v>2025</v>
      </c>
    </row>
    <row r="405" ht="22.5" customHeight="1">
      <c r="A405" s="69">
        <v>46014.0</v>
      </c>
      <c r="B405" s="70" t="s">
        <v>79</v>
      </c>
      <c r="C405" s="70" t="s">
        <v>140</v>
      </c>
      <c r="D405" s="70" t="s">
        <v>141</v>
      </c>
      <c r="E405" s="84">
        <f t="array" ref="E405">XLOOKUP($D405,concepto_salarios,monto_salarios,0)</f>
        <v>250</v>
      </c>
      <c r="F405" s="72">
        <v>0.0</v>
      </c>
      <c r="G405" s="74">
        <v>0.0</v>
      </c>
      <c r="H405" s="84">
        <f t="shared" si="1"/>
        <v>250</v>
      </c>
      <c r="I405" s="76" t="str">
        <f t="shared" si="2"/>
        <v>diciembre</v>
      </c>
      <c r="J405" s="76">
        <f t="shared" si="3"/>
        <v>2025</v>
      </c>
    </row>
    <row r="406" ht="22.5" customHeight="1">
      <c r="A406" s="69">
        <v>46014.0</v>
      </c>
      <c r="B406" s="70" t="s">
        <v>79</v>
      </c>
      <c r="C406" s="70" t="s">
        <v>163</v>
      </c>
      <c r="D406" s="70" t="s">
        <v>164</v>
      </c>
      <c r="E406" s="84">
        <f t="array" ref="E406">XLOOKUP($D406,concepto_salarios,monto_salarios,0)</f>
        <v>100</v>
      </c>
      <c r="F406" s="72">
        <v>0.0</v>
      </c>
      <c r="G406" s="74">
        <v>200.0</v>
      </c>
      <c r="H406" s="84">
        <f t="shared" si="1"/>
        <v>300</v>
      </c>
      <c r="I406" s="76" t="str">
        <f t="shared" si="2"/>
        <v>diciembre</v>
      </c>
      <c r="J406" s="76">
        <f t="shared" si="3"/>
        <v>2025</v>
      </c>
    </row>
    <row r="407" ht="22.5" customHeight="1">
      <c r="A407" s="69">
        <v>46014.0</v>
      </c>
      <c r="B407" s="70" t="s">
        <v>61</v>
      </c>
      <c r="C407" s="70" t="s">
        <v>143</v>
      </c>
      <c r="D407" s="70" t="s">
        <v>231</v>
      </c>
      <c r="E407" s="84">
        <f t="array" ref="E407">XLOOKUP($D407,concepto_salarios,monto_salarios,0)</f>
        <v>50</v>
      </c>
      <c r="F407" s="72">
        <v>0.0</v>
      </c>
      <c r="G407" s="74">
        <v>0.0</v>
      </c>
      <c r="H407" s="84">
        <f t="shared" si="1"/>
        <v>50</v>
      </c>
      <c r="I407" s="76" t="str">
        <f t="shared" si="2"/>
        <v>diciembre</v>
      </c>
      <c r="J407" s="76">
        <f t="shared" si="3"/>
        <v>2025</v>
      </c>
    </row>
    <row r="408" ht="22.5" customHeight="1">
      <c r="A408" s="69">
        <v>46014.0</v>
      </c>
      <c r="B408" s="70" t="s">
        <v>61</v>
      </c>
      <c r="C408" s="70" t="s">
        <v>140</v>
      </c>
      <c r="D408" s="70" t="s">
        <v>141</v>
      </c>
      <c r="E408" s="84">
        <f t="array" ref="E408">XLOOKUP($D408,concepto_salarios,monto_salarios,0)</f>
        <v>250</v>
      </c>
      <c r="F408" s="72">
        <v>0.0</v>
      </c>
      <c r="G408" s="74">
        <v>0.0</v>
      </c>
      <c r="H408" s="84">
        <f t="shared" si="1"/>
        <v>250</v>
      </c>
      <c r="I408" s="76" t="str">
        <f t="shared" si="2"/>
        <v>diciembre</v>
      </c>
      <c r="J408" s="76">
        <f t="shared" si="3"/>
        <v>2025</v>
      </c>
    </row>
    <row r="409" ht="22.5" customHeight="1">
      <c r="A409" s="69">
        <v>46014.0</v>
      </c>
      <c r="B409" s="70" t="s">
        <v>61</v>
      </c>
      <c r="C409" s="70" t="s">
        <v>163</v>
      </c>
      <c r="D409" s="70" t="s">
        <v>164</v>
      </c>
      <c r="E409" s="84">
        <f t="array" ref="E409">XLOOKUP($D409,concepto_salarios,monto_salarios,0)</f>
        <v>100</v>
      </c>
      <c r="F409" s="72">
        <v>0.0</v>
      </c>
      <c r="G409" s="74">
        <v>50.0</v>
      </c>
      <c r="H409" s="84">
        <f t="shared" si="1"/>
        <v>150</v>
      </c>
      <c r="I409" s="76" t="str">
        <f t="shared" si="2"/>
        <v>diciembre</v>
      </c>
      <c r="J409" s="76">
        <f t="shared" si="3"/>
        <v>2025</v>
      </c>
    </row>
    <row r="410" ht="22.5" customHeight="1">
      <c r="A410" s="69">
        <v>46015.0</v>
      </c>
      <c r="B410" s="70" t="s">
        <v>73</v>
      </c>
      <c r="C410" s="70" t="s">
        <v>143</v>
      </c>
      <c r="D410" s="70" t="s">
        <v>227</v>
      </c>
      <c r="E410" s="84">
        <f t="array" ref="E410">XLOOKUP($D410,concepto_salarios,monto_salarios,0)</f>
        <v>50</v>
      </c>
      <c r="F410" s="72">
        <v>0.0</v>
      </c>
      <c r="G410" s="74">
        <v>0.0</v>
      </c>
      <c r="H410" s="84">
        <f t="shared" si="1"/>
        <v>50</v>
      </c>
      <c r="I410" s="76" t="str">
        <f t="shared" si="2"/>
        <v>diciembre</v>
      </c>
      <c r="J410" s="76">
        <f t="shared" si="3"/>
        <v>2025</v>
      </c>
    </row>
    <row r="411" ht="22.5" customHeight="1">
      <c r="A411" s="69">
        <v>46015.0</v>
      </c>
      <c r="B411" s="70" t="s">
        <v>73</v>
      </c>
      <c r="C411" s="70" t="s">
        <v>143</v>
      </c>
      <c r="D411" s="70" t="s">
        <v>178</v>
      </c>
      <c r="E411" s="84">
        <f t="array" ref="E411">XLOOKUP($D411,concepto_salarios,monto_salarios,0)</f>
        <v>60</v>
      </c>
      <c r="F411" s="72">
        <v>0.0</v>
      </c>
      <c r="G411" s="74">
        <v>0.0</v>
      </c>
      <c r="H411" s="84">
        <f t="shared" si="1"/>
        <v>60</v>
      </c>
      <c r="I411" s="76" t="str">
        <f t="shared" si="2"/>
        <v>diciembre</v>
      </c>
      <c r="J411" s="76">
        <f t="shared" si="3"/>
        <v>2025</v>
      </c>
    </row>
    <row r="412" ht="22.5" customHeight="1">
      <c r="A412" s="69">
        <v>46015.0</v>
      </c>
      <c r="B412" s="70" t="s">
        <v>73</v>
      </c>
      <c r="C412" s="70" t="s">
        <v>140</v>
      </c>
      <c r="D412" s="70" t="s">
        <v>199</v>
      </c>
      <c r="E412" s="84">
        <f t="array" ref="E412">XLOOKUP($D412,concepto_salarios,monto_salarios,0)</f>
        <v>100</v>
      </c>
      <c r="F412" s="72">
        <v>0.0</v>
      </c>
      <c r="G412" s="74">
        <v>0.0</v>
      </c>
      <c r="H412" s="84">
        <f t="shared" si="1"/>
        <v>100</v>
      </c>
      <c r="I412" s="76" t="str">
        <f t="shared" si="2"/>
        <v>diciembre</v>
      </c>
      <c r="J412" s="76">
        <f t="shared" si="3"/>
        <v>2025</v>
      </c>
    </row>
    <row r="413" ht="22.5" customHeight="1">
      <c r="A413" s="69">
        <v>46015.0</v>
      </c>
      <c r="B413" s="70" t="s">
        <v>73</v>
      </c>
      <c r="C413" s="70" t="s">
        <v>143</v>
      </c>
      <c r="D413" s="70" t="s">
        <v>183</v>
      </c>
      <c r="E413" s="84">
        <f t="array" ref="E413">XLOOKUP($D413,concepto_salarios,monto_salarios,0)</f>
        <v>50</v>
      </c>
      <c r="F413" s="72">
        <v>0.0</v>
      </c>
      <c r="G413" s="74">
        <v>0.0</v>
      </c>
      <c r="H413" s="84">
        <f t="shared" si="1"/>
        <v>50</v>
      </c>
      <c r="I413" s="76" t="str">
        <f t="shared" si="2"/>
        <v>diciembre</v>
      </c>
      <c r="J413" s="76">
        <f t="shared" si="3"/>
        <v>2025</v>
      </c>
    </row>
    <row r="414" ht="22.5" customHeight="1">
      <c r="A414" s="69">
        <v>46015.0</v>
      </c>
      <c r="B414" s="70" t="s">
        <v>73</v>
      </c>
      <c r="C414" s="70" t="s">
        <v>163</v>
      </c>
      <c r="D414" s="70" t="s">
        <v>164</v>
      </c>
      <c r="E414" s="84">
        <f t="array" ref="E414">XLOOKUP($D414,concepto_salarios,monto_salarios,0)</f>
        <v>100</v>
      </c>
      <c r="F414" s="72">
        <v>0.0</v>
      </c>
      <c r="G414" s="74">
        <v>200.0</v>
      </c>
      <c r="H414" s="84">
        <f t="shared" si="1"/>
        <v>300</v>
      </c>
      <c r="I414" s="76" t="str">
        <f t="shared" si="2"/>
        <v>diciembre</v>
      </c>
      <c r="J414" s="76">
        <f t="shared" si="3"/>
        <v>2025</v>
      </c>
    </row>
    <row r="415" ht="22.5" customHeight="1">
      <c r="A415" s="69">
        <v>46015.0</v>
      </c>
      <c r="B415" s="70" t="s">
        <v>66</v>
      </c>
      <c r="C415" s="70" t="s">
        <v>143</v>
      </c>
      <c r="D415" s="70" t="s">
        <v>227</v>
      </c>
      <c r="E415" s="84">
        <f t="array" ref="E415">XLOOKUP($D415,concepto_salarios,monto_salarios,0)</f>
        <v>50</v>
      </c>
      <c r="F415" s="72">
        <v>0.0</v>
      </c>
      <c r="G415" s="74">
        <v>0.0</v>
      </c>
      <c r="H415" s="84">
        <f t="shared" si="1"/>
        <v>50</v>
      </c>
      <c r="I415" s="76" t="str">
        <f t="shared" si="2"/>
        <v>diciembre</v>
      </c>
      <c r="J415" s="76">
        <f t="shared" si="3"/>
        <v>2025</v>
      </c>
    </row>
    <row r="416" ht="22.5" customHeight="1">
      <c r="A416" s="69">
        <v>46015.0</v>
      </c>
      <c r="B416" s="70" t="s">
        <v>66</v>
      </c>
      <c r="C416" s="70" t="s">
        <v>143</v>
      </c>
      <c r="D416" s="70" t="s">
        <v>178</v>
      </c>
      <c r="E416" s="84">
        <f t="array" ref="E416">XLOOKUP($D416,concepto_salarios,monto_salarios,0)</f>
        <v>60</v>
      </c>
      <c r="F416" s="72">
        <v>0.0</v>
      </c>
      <c r="G416" s="74">
        <v>0.0</v>
      </c>
      <c r="H416" s="84">
        <f t="shared" si="1"/>
        <v>60</v>
      </c>
      <c r="I416" s="76" t="str">
        <f t="shared" si="2"/>
        <v>diciembre</v>
      </c>
      <c r="J416" s="76">
        <f t="shared" si="3"/>
        <v>2025</v>
      </c>
    </row>
    <row r="417" ht="22.5" customHeight="1">
      <c r="A417" s="69">
        <v>46015.0</v>
      </c>
      <c r="B417" s="70" t="s">
        <v>66</v>
      </c>
      <c r="C417" s="70" t="s">
        <v>140</v>
      </c>
      <c r="D417" s="70" t="s">
        <v>199</v>
      </c>
      <c r="E417" s="84">
        <f t="array" ref="E417">XLOOKUP($D417,concepto_salarios,monto_salarios,0)</f>
        <v>100</v>
      </c>
      <c r="F417" s="72">
        <v>0.0</v>
      </c>
      <c r="G417" s="74">
        <v>0.0</v>
      </c>
      <c r="H417" s="84">
        <f t="shared" si="1"/>
        <v>100</v>
      </c>
      <c r="I417" s="76" t="str">
        <f t="shared" si="2"/>
        <v>diciembre</v>
      </c>
      <c r="J417" s="76">
        <f t="shared" si="3"/>
        <v>2025</v>
      </c>
    </row>
    <row r="418" ht="22.5" customHeight="1">
      <c r="A418" s="69">
        <v>46015.0</v>
      </c>
      <c r="B418" s="70" t="s">
        <v>66</v>
      </c>
      <c r="C418" s="70" t="s">
        <v>143</v>
      </c>
      <c r="D418" s="70" t="s">
        <v>183</v>
      </c>
      <c r="E418" s="84">
        <f t="array" ref="E418">XLOOKUP($D418,concepto_salarios,monto_salarios,0)</f>
        <v>50</v>
      </c>
      <c r="F418" s="72">
        <v>0.0</v>
      </c>
      <c r="G418" s="74">
        <v>0.0</v>
      </c>
      <c r="H418" s="84">
        <f t="shared" si="1"/>
        <v>50</v>
      </c>
      <c r="I418" s="76" t="str">
        <f t="shared" si="2"/>
        <v>diciembre</v>
      </c>
      <c r="J418" s="76">
        <f t="shared" si="3"/>
        <v>2025</v>
      </c>
    </row>
    <row r="419" ht="22.5" customHeight="1">
      <c r="A419" s="69">
        <v>46015.0</v>
      </c>
      <c r="B419" s="70" t="s">
        <v>66</v>
      </c>
      <c r="C419" s="70" t="s">
        <v>163</v>
      </c>
      <c r="D419" s="70" t="s">
        <v>164</v>
      </c>
      <c r="E419" s="84">
        <f t="array" ref="E419">XLOOKUP($D419,concepto_salarios,monto_salarios,0)</f>
        <v>100</v>
      </c>
      <c r="F419" s="72">
        <v>0.0</v>
      </c>
      <c r="G419" s="74">
        <v>200.0</v>
      </c>
      <c r="H419" s="84">
        <f t="shared" si="1"/>
        <v>300</v>
      </c>
      <c r="I419" s="76" t="str">
        <f t="shared" si="2"/>
        <v>diciembre</v>
      </c>
      <c r="J419" s="76">
        <f t="shared" si="3"/>
        <v>2025</v>
      </c>
    </row>
    <row r="420" ht="22.5" customHeight="1">
      <c r="A420" s="69">
        <v>46017.0</v>
      </c>
      <c r="B420" s="70" t="s">
        <v>70</v>
      </c>
      <c r="C420" s="70" t="s">
        <v>142</v>
      </c>
      <c r="D420" s="70" t="s">
        <v>226</v>
      </c>
      <c r="E420" s="84">
        <f t="array" ref="E420">XLOOKUP($D420,concepto_salarios,monto_salarios,0)</f>
        <v>456</v>
      </c>
      <c r="F420" s="72">
        <v>0.0</v>
      </c>
      <c r="G420" s="74">
        <v>0.0</v>
      </c>
      <c r="H420" s="84">
        <f t="shared" si="1"/>
        <v>456</v>
      </c>
      <c r="I420" s="76" t="str">
        <f t="shared" si="2"/>
        <v>diciembre</v>
      </c>
      <c r="J420" s="76">
        <f t="shared" si="3"/>
        <v>2025</v>
      </c>
    </row>
    <row r="421" ht="22.5" customHeight="1">
      <c r="A421" s="69">
        <v>46017.0</v>
      </c>
      <c r="B421" s="70" t="s">
        <v>70</v>
      </c>
      <c r="C421" s="70" t="s">
        <v>143</v>
      </c>
      <c r="D421" s="70" t="s">
        <v>192</v>
      </c>
      <c r="E421" s="84">
        <f t="array" ref="E421">XLOOKUP($D421,concepto_salarios,monto_salarios,0)</f>
        <v>50</v>
      </c>
      <c r="F421" s="72">
        <v>0.0</v>
      </c>
      <c r="G421" s="74">
        <v>0.0</v>
      </c>
      <c r="H421" s="84">
        <f t="shared" si="1"/>
        <v>50</v>
      </c>
      <c r="I421" s="76" t="str">
        <f t="shared" si="2"/>
        <v>diciembre</v>
      </c>
      <c r="J421" s="76">
        <f t="shared" si="3"/>
        <v>2025</v>
      </c>
    </row>
    <row r="422" ht="22.5" customHeight="1">
      <c r="A422" s="69">
        <v>46017.0</v>
      </c>
      <c r="B422" s="70" t="s">
        <v>70</v>
      </c>
      <c r="C422" s="70" t="s">
        <v>163</v>
      </c>
      <c r="D422" s="70" t="s">
        <v>164</v>
      </c>
      <c r="E422" s="84">
        <f t="array" ref="E422">XLOOKUP($D422,concepto_salarios,monto_salarios,0)</f>
        <v>100</v>
      </c>
      <c r="F422" s="72">
        <v>0.0</v>
      </c>
      <c r="G422" s="74">
        <v>0.0</v>
      </c>
      <c r="H422" s="84">
        <f t="shared" si="1"/>
        <v>100</v>
      </c>
      <c r="I422" s="76" t="str">
        <f t="shared" si="2"/>
        <v>diciembre</v>
      </c>
      <c r="J422" s="76">
        <f t="shared" si="3"/>
        <v>2025</v>
      </c>
    </row>
    <row r="423" ht="22.5" customHeight="1">
      <c r="A423" s="69">
        <v>46017.0</v>
      </c>
      <c r="B423" s="70" t="s">
        <v>70</v>
      </c>
      <c r="C423" s="70" t="s">
        <v>143</v>
      </c>
      <c r="D423" s="70" t="s">
        <v>168</v>
      </c>
      <c r="E423" s="84">
        <f t="array" ref="E423">XLOOKUP($D423,concepto_salarios,monto_salarios,0)</f>
        <v>75</v>
      </c>
      <c r="F423" s="72">
        <v>0.0</v>
      </c>
      <c r="G423" s="74">
        <v>0.0</v>
      </c>
      <c r="H423" s="84">
        <f t="shared" si="1"/>
        <v>75</v>
      </c>
      <c r="I423" s="76" t="str">
        <f t="shared" si="2"/>
        <v>diciembre</v>
      </c>
      <c r="J423" s="76">
        <f t="shared" si="3"/>
        <v>2025</v>
      </c>
    </row>
    <row r="424" ht="22.5" customHeight="1">
      <c r="A424" s="69">
        <v>46017.0</v>
      </c>
      <c r="B424" s="70" t="s">
        <v>70</v>
      </c>
      <c r="C424" s="70" t="s">
        <v>143</v>
      </c>
      <c r="D424" s="70" t="s">
        <v>239</v>
      </c>
      <c r="E424" s="84">
        <f t="array" ref="E424">XLOOKUP($D424,concepto_salarios,monto_salarios,0)</f>
        <v>50</v>
      </c>
      <c r="F424" s="72">
        <v>0.0</v>
      </c>
      <c r="G424" s="74">
        <v>0.0</v>
      </c>
      <c r="H424" s="84">
        <f t="shared" si="1"/>
        <v>50</v>
      </c>
      <c r="I424" s="76" t="str">
        <f t="shared" si="2"/>
        <v>diciembre</v>
      </c>
      <c r="J424" s="76">
        <f t="shared" si="3"/>
        <v>2025</v>
      </c>
    </row>
    <row r="425" ht="22.5" customHeight="1">
      <c r="A425" s="69">
        <v>46017.0</v>
      </c>
      <c r="B425" s="70" t="s">
        <v>70</v>
      </c>
      <c r="C425" s="70" t="s">
        <v>140</v>
      </c>
      <c r="D425" s="70" t="s">
        <v>201</v>
      </c>
      <c r="E425" s="84">
        <f t="array" ref="E425">XLOOKUP($D425,concepto_salarios,monto_salarios,0)</f>
        <v>100</v>
      </c>
      <c r="F425" s="72">
        <v>0.0</v>
      </c>
      <c r="G425" s="74">
        <v>0.0</v>
      </c>
      <c r="H425" s="84">
        <f t="shared" si="1"/>
        <v>100</v>
      </c>
      <c r="I425" s="76" t="str">
        <f t="shared" si="2"/>
        <v>diciembre</v>
      </c>
      <c r="J425" s="76">
        <f t="shared" si="3"/>
        <v>2025</v>
      </c>
    </row>
    <row r="426" ht="22.5" customHeight="1">
      <c r="A426" s="69">
        <v>46017.0</v>
      </c>
      <c r="B426" s="70" t="s">
        <v>81</v>
      </c>
      <c r="C426" s="70" t="s">
        <v>143</v>
      </c>
      <c r="D426" s="70" t="s">
        <v>192</v>
      </c>
      <c r="E426" s="84">
        <f t="array" ref="E426">XLOOKUP($D426,concepto_salarios,monto_salarios,0)</f>
        <v>50</v>
      </c>
      <c r="F426" s="72">
        <v>0.0</v>
      </c>
      <c r="G426" s="74">
        <v>0.0</v>
      </c>
      <c r="H426" s="84">
        <f t="shared" si="1"/>
        <v>50</v>
      </c>
      <c r="I426" s="76" t="str">
        <f t="shared" si="2"/>
        <v>diciembre</v>
      </c>
      <c r="J426" s="76">
        <f t="shared" si="3"/>
        <v>2025</v>
      </c>
    </row>
    <row r="427" ht="22.5" customHeight="1">
      <c r="A427" s="69">
        <v>46017.0</v>
      </c>
      <c r="B427" s="70" t="s">
        <v>81</v>
      </c>
      <c r="C427" s="70" t="s">
        <v>143</v>
      </c>
      <c r="D427" s="70" t="s">
        <v>168</v>
      </c>
      <c r="E427" s="84">
        <f t="array" ref="E427">XLOOKUP($D427,concepto_salarios,monto_salarios,0)</f>
        <v>75</v>
      </c>
      <c r="F427" s="72">
        <v>0.0</v>
      </c>
      <c r="G427" s="74">
        <v>0.0</v>
      </c>
      <c r="H427" s="84">
        <f t="shared" si="1"/>
        <v>75</v>
      </c>
      <c r="I427" s="76" t="str">
        <f t="shared" si="2"/>
        <v>diciembre</v>
      </c>
      <c r="J427" s="76">
        <f t="shared" si="3"/>
        <v>2025</v>
      </c>
    </row>
    <row r="428" ht="22.5" customHeight="1">
      <c r="A428" s="69">
        <v>46017.0</v>
      </c>
      <c r="B428" s="70" t="s">
        <v>81</v>
      </c>
      <c r="C428" s="70" t="s">
        <v>143</v>
      </c>
      <c r="D428" s="70" t="s">
        <v>239</v>
      </c>
      <c r="E428" s="84">
        <f t="array" ref="E428">XLOOKUP($D428,concepto_salarios,monto_salarios,0)</f>
        <v>50</v>
      </c>
      <c r="F428" s="72">
        <v>0.0</v>
      </c>
      <c r="G428" s="74">
        <v>0.0</v>
      </c>
      <c r="H428" s="84">
        <f t="shared" si="1"/>
        <v>50</v>
      </c>
      <c r="I428" s="76" t="str">
        <f t="shared" si="2"/>
        <v>diciembre</v>
      </c>
      <c r="J428" s="76">
        <f t="shared" si="3"/>
        <v>2025</v>
      </c>
    </row>
    <row r="429" ht="22.5" customHeight="1">
      <c r="A429" s="69">
        <v>46017.0</v>
      </c>
      <c r="B429" s="70" t="s">
        <v>81</v>
      </c>
      <c r="C429" s="70" t="s">
        <v>140</v>
      </c>
      <c r="D429" s="70" t="s">
        <v>201</v>
      </c>
      <c r="E429" s="84">
        <f t="array" ref="E429">XLOOKUP($D429,concepto_salarios,monto_salarios,0)</f>
        <v>100</v>
      </c>
      <c r="F429" s="72">
        <v>0.0</v>
      </c>
      <c r="G429" s="74">
        <v>0.0</v>
      </c>
      <c r="H429" s="84">
        <f t="shared" si="1"/>
        <v>100</v>
      </c>
      <c r="I429" s="76" t="str">
        <f t="shared" si="2"/>
        <v>diciembre</v>
      </c>
      <c r="J429" s="76">
        <f t="shared" si="3"/>
        <v>2025</v>
      </c>
    </row>
    <row r="430" ht="22.5" customHeight="1">
      <c r="A430" s="69">
        <v>46017.0</v>
      </c>
      <c r="B430" s="70" t="s">
        <v>56</v>
      </c>
      <c r="C430" s="70" t="s">
        <v>143</v>
      </c>
      <c r="D430" s="70" t="s">
        <v>172</v>
      </c>
      <c r="E430" s="84">
        <f t="array" ref="E430">XLOOKUP($D430,concepto_salarios,monto_salarios,0)</f>
        <v>90</v>
      </c>
      <c r="F430" s="72">
        <v>0.0</v>
      </c>
      <c r="G430" s="74">
        <v>0.0</v>
      </c>
      <c r="H430" s="84">
        <f t="shared" si="1"/>
        <v>90</v>
      </c>
      <c r="I430" s="76" t="str">
        <f t="shared" si="2"/>
        <v>diciembre</v>
      </c>
      <c r="J430" s="76">
        <f t="shared" si="3"/>
        <v>2025</v>
      </c>
    </row>
    <row r="431" ht="22.5" customHeight="1">
      <c r="A431" s="69">
        <v>46017.0</v>
      </c>
      <c r="B431" s="70" t="s">
        <v>56</v>
      </c>
      <c r="C431" s="70" t="s">
        <v>142</v>
      </c>
      <c r="D431" s="70" t="s">
        <v>173</v>
      </c>
      <c r="E431" s="84">
        <f t="array" ref="E431">XLOOKUP($D431,concepto_salarios,monto_salarios,0)</f>
        <v>834</v>
      </c>
      <c r="F431" s="72">
        <v>0.0</v>
      </c>
      <c r="G431" s="74">
        <v>0.0</v>
      </c>
      <c r="H431" s="84">
        <f t="shared" si="1"/>
        <v>834</v>
      </c>
      <c r="I431" s="76" t="str">
        <f t="shared" si="2"/>
        <v>diciembre</v>
      </c>
      <c r="J431" s="76">
        <f t="shared" si="3"/>
        <v>2025</v>
      </c>
    </row>
    <row r="432" ht="22.5" customHeight="1">
      <c r="A432" s="69">
        <v>46018.0</v>
      </c>
      <c r="B432" s="70" t="s">
        <v>46</v>
      </c>
      <c r="C432" s="70" t="s">
        <v>142</v>
      </c>
      <c r="D432" s="70" t="s">
        <v>173</v>
      </c>
      <c r="E432" s="84">
        <f t="array" ref="E432">XLOOKUP($D432,concepto_salarios,monto_salarios,0)</f>
        <v>834</v>
      </c>
      <c r="F432" s="72">
        <v>0.0</v>
      </c>
      <c r="G432" s="74">
        <v>0.0</v>
      </c>
      <c r="H432" s="84">
        <f t="shared" si="1"/>
        <v>834</v>
      </c>
      <c r="I432" s="76" t="str">
        <f t="shared" si="2"/>
        <v>diciembre</v>
      </c>
      <c r="J432" s="76">
        <f t="shared" si="3"/>
        <v>2025</v>
      </c>
    </row>
    <row r="433" ht="22.5" customHeight="1">
      <c r="A433" s="69">
        <v>46018.0</v>
      </c>
      <c r="B433" s="70" t="s">
        <v>46</v>
      </c>
      <c r="C433" s="70" t="s">
        <v>143</v>
      </c>
      <c r="D433" s="70" t="s">
        <v>241</v>
      </c>
      <c r="E433" s="84">
        <f t="array" ref="E433">XLOOKUP($D433,concepto_salarios,monto_salarios,0)</f>
        <v>60</v>
      </c>
      <c r="F433" s="72">
        <v>0.0</v>
      </c>
      <c r="G433" s="74">
        <v>0.0</v>
      </c>
      <c r="H433" s="84">
        <f t="shared" si="1"/>
        <v>60</v>
      </c>
      <c r="I433" s="76" t="str">
        <f t="shared" si="2"/>
        <v>diciembre</v>
      </c>
      <c r="J433" s="76">
        <f t="shared" si="3"/>
        <v>2025</v>
      </c>
    </row>
    <row r="434" ht="22.5" customHeight="1">
      <c r="A434" s="69">
        <v>46018.0</v>
      </c>
      <c r="B434" s="70" t="s">
        <v>79</v>
      </c>
      <c r="C434" s="70" t="s">
        <v>142</v>
      </c>
      <c r="D434" s="70" t="s">
        <v>226</v>
      </c>
      <c r="E434" s="84">
        <f t="array" ref="E434">XLOOKUP($D434,concepto_salarios,monto_salarios,0)</f>
        <v>456</v>
      </c>
      <c r="F434" s="72">
        <v>0.0</v>
      </c>
      <c r="G434" s="74">
        <v>0.0</v>
      </c>
      <c r="H434" s="84">
        <f t="shared" si="1"/>
        <v>456</v>
      </c>
      <c r="I434" s="76" t="str">
        <f t="shared" si="2"/>
        <v>diciembre</v>
      </c>
      <c r="J434" s="76">
        <f t="shared" si="3"/>
        <v>2025</v>
      </c>
    </row>
    <row r="435" ht="22.5" customHeight="1">
      <c r="A435" s="69">
        <v>46018.0</v>
      </c>
      <c r="B435" s="70" t="s">
        <v>79</v>
      </c>
      <c r="C435" s="70" t="s">
        <v>143</v>
      </c>
      <c r="D435" s="70" t="s">
        <v>241</v>
      </c>
      <c r="E435" s="84">
        <f t="array" ref="E435">XLOOKUP($D435,concepto_salarios,monto_salarios,0)</f>
        <v>60</v>
      </c>
      <c r="F435" s="72">
        <v>0.0</v>
      </c>
      <c r="G435" s="74">
        <v>0.0</v>
      </c>
      <c r="H435" s="84">
        <f t="shared" si="1"/>
        <v>60</v>
      </c>
      <c r="I435" s="76" t="str">
        <f t="shared" si="2"/>
        <v>diciembre</v>
      </c>
      <c r="J435" s="76">
        <f t="shared" si="3"/>
        <v>2025</v>
      </c>
    </row>
    <row r="436" ht="22.5" customHeight="1">
      <c r="A436" s="69">
        <v>46018.0</v>
      </c>
      <c r="B436" s="70" t="s">
        <v>51</v>
      </c>
      <c r="C436" s="70" t="s">
        <v>142</v>
      </c>
      <c r="D436" s="70" t="s">
        <v>244</v>
      </c>
      <c r="E436" s="84">
        <f t="array" ref="E436">XLOOKUP($D436,concepto_salarios,monto_salarios,0)</f>
        <v>1230</v>
      </c>
      <c r="F436" s="72">
        <v>0.0</v>
      </c>
      <c r="G436" s="74">
        <v>0.0</v>
      </c>
      <c r="H436" s="84">
        <f t="shared" si="1"/>
        <v>1230</v>
      </c>
      <c r="I436" s="76" t="str">
        <f t="shared" si="2"/>
        <v>diciembre</v>
      </c>
      <c r="J436" s="76">
        <f t="shared" si="3"/>
        <v>2025</v>
      </c>
    </row>
    <row r="437" ht="22.5" customHeight="1">
      <c r="A437" s="69">
        <v>46018.0</v>
      </c>
      <c r="B437" s="70" t="s">
        <v>51</v>
      </c>
      <c r="C437" s="70" t="s">
        <v>142</v>
      </c>
      <c r="D437" s="70" t="s">
        <v>245</v>
      </c>
      <c r="E437" s="84">
        <f t="array" ref="E437">XLOOKUP($D437,concepto_salarios,monto_salarios,0)</f>
        <v>200</v>
      </c>
      <c r="F437" s="72">
        <v>0.0</v>
      </c>
      <c r="G437" s="74">
        <v>0.0</v>
      </c>
      <c r="H437" s="84">
        <f t="shared" si="1"/>
        <v>200</v>
      </c>
      <c r="I437" s="76" t="str">
        <f t="shared" si="2"/>
        <v>diciembre</v>
      </c>
      <c r="J437" s="76">
        <f t="shared" si="3"/>
        <v>2025</v>
      </c>
    </row>
    <row r="438" ht="22.5" customHeight="1">
      <c r="A438" s="69">
        <v>46018.0</v>
      </c>
      <c r="B438" s="70" t="s">
        <v>73</v>
      </c>
      <c r="C438" s="70" t="s">
        <v>148</v>
      </c>
      <c r="D438" s="70" t="s">
        <v>186</v>
      </c>
      <c r="E438" s="84">
        <f t="array" ref="E438">XLOOKUP($D438,concepto_salarios,monto_salarios,0)</f>
        <v>375</v>
      </c>
      <c r="F438" s="72">
        <v>0.0</v>
      </c>
      <c r="G438" s="74">
        <v>0.0</v>
      </c>
      <c r="H438" s="84">
        <f t="shared" si="1"/>
        <v>375</v>
      </c>
      <c r="I438" s="76" t="str">
        <f t="shared" si="2"/>
        <v>diciembre</v>
      </c>
      <c r="J438" s="76">
        <f t="shared" si="3"/>
        <v>2025</v>
      </c>
    </row>
    <row r="439" ht="22.5" customHeight="1">
      <c r="A439" s="69">
        <v>46018.0</v>
      </c>
      <c r="B439" s="70" t="s">
        <v>73</v>
      </c>
      <c r="C439" s="70" t="s">
        <v>163</v>
      </c>
      <c r="D439" s="70" t="s">
        <v>164</v>
      </c>
      <c r="E439" s="84">
        <f t="array" ref="E439">XLOOKUP($D439,concepto_salarios,monto_salarios,0)</f>
        <v>100</v>
      </c>
      <c r="F439" s="72">
        <v>0.0</v>
      </c>
      <c r="G439" s="74">
        <v>0.0</v>
      </c>
      <c r="H439" s="84">
        <f t="shared" si="1"/>
        <v>100</v>
      </c>
      <c r="I439" s="76" t="str">
        <f t="shared" si="2"/>
        <v>diciembre</v>
      </c>
      <c r="J439" s="76">
        <f t="shared" si="3"/>
        <v>2025</v>
      </c>
    </row>
    <row r="440" ht="22.5" customHeight="1">
      <c r="A440" s="69">
        <v>46018.0</v>
      </c>
      <c r="B440" s="70" t="s">
        <v>73</v>
      </c>
      <c r="C440" s="70" t="s">
        <v>143</v>
      </c>
      <c r="D440" s="70" t="s">
        <v>237</v>
      </c>
      <c r="E440" s="84">
        <f t="array" ref="E440">XLOOKUP($D440,concepto_salarios,monto_salarios,0)</f>
        <v>45</v>
      </c>
      <c r="F440" s="72">
        <v>0.0</v>
      </c>
      <c r="G440" s="74">
        <v>0.0</v>
      </c>
      <c r="H440" s="84">
        <f t="shared" si="1"/>
        <v>45</v>
      </c>
      <c r="I440" s="76" t="str">
        <f t="shared" si="2"/>
        <v>diciembre</v>
      </c>
      <c r="J440" s="76">
        <f t="shared" si="3"/>
        <v>2025</v>
      </c>
    </row>
    <row r="441" ht="22.5" customHeight="1">
      <c r="A441" s="69">
        <v>46018.0</v>
      </c>
      <c r="B441" s="70" t="s">
        <v>73</v>
      </c>
      <c r="C441" s="70" t="s">
        <v>143</v>
      </c>
      <c r="D441" s="70" t="s">
        <v>241</v>
      </c>
      <c r="E441" s="84">
        <f t="array" ref="E441">XLOOKUP($D441,concepto_salarios,monto_salarios,0)</f>
        <v>60</v>
      </c>
      <c r="F441" s="72">
        <v>0.0</v>
      </c>
      <c r="G441" s="74">
        <v>0.0</v>
      </c>
      <c r="H441" s="84">
        <f t="shared" si="1"/>
        <v>60</v>
      </c>
      <c r="I441" s="76" t="str">
        <f t="shared" si="2"/>
        <v>diciembre</v>
      </c>
      <c r="J441" s="76">
        <f t="shared" si="3"/>
        <v>2025</v>
      </c>
    </row>
    <row r="442" ht="22.5" customHeight="1">
      <c r="A442" s="69">
        <v>46018.0</v>
      </c>
      <c r="B442" s="70" t="s">
        <v>73</v>
      </c>
      <c r="C442" s="70" t="s">
        <v>143</v>
      </c>
      <c r="D442" s="70" t="s">
        <v>178</v>
      </c>
      <c r="E442" s="84">
        <f t="array" ref="E442">XLOOKUP($D442,concepto_salarios,monto_salarios,0)</f>
        <v>60</v>
      </c>
      <c r="F442" s="72">
        <v>0.0</v>
      </c>
      <c r="G442" s="74">
        <v>0.0</v>
      </c>
      <c r="H442" s="84">
        <f t="shared" si="1"/>
        <v>60</v>
      </c>
      <c r="I442" s="76" t="str">
        <f t="shared" si="2"/>
        <v>diciembre</v>
      </c>
      <c r="J442" s="76">
        <f t="shared" si="3"/>
        <v>2025</v>
      </c>
    </row>
    <row r="443" ht="22.5" customHeight="1">
      <c r="A443" s="69">
        <v>46018.0</v>
      </c>
      <c r="B443" s="70" t="s">
        <v>73</v>
      </c>
      <c r="C443" s="70" t="s">
        <v>140</v>
      </c>
      <c r="D443" s="70" t="s">
        <v>146</v>
      </c>
      <c r="E443" s="84">
        <f t="array" ref="E443">XLOOKUP($D443,concepto_salarios,monto_salarios,0)</f>
        <v>450</v>
      </c>
      <c r="F443" s="72">
        <v>0.0</v>
      </c>
      <c r="G443" s="74">
        <v>0.0</v>
      </c>
      <c r="H443" s="84">
        <f t="shared" si="1"/>
        <v>450</v>
      </c>
      <c r="I443" s="76" t="str">
        <f t="shared" si="2"/>
        <v>diciembre</v>
      </c>
      <c r="J443" s="76">
        <f t="shared" si="3"/>
        <v>2025</v>
      </c>
    </row>
    <row r="444" ht="22.5" customHeight="1">
      <c r="A444" s="69">
        <v>46018.0</v>
      </c>
      <c r="B444" s="70" t="s">
        <v>70</v>
      </c>
      <c r="C444" s="70" t="s">
        <v>148</v>
      </c>
      <c r="D444" s="70" t="s">
        <v>186</v>
      </c>
      <c r="E444" s="84">
        <f t="array" ref="E444">XLOOKUP($D444,concepto_salarios,monto_salarios,0)</f>
        <v>375</v>
      </c>
      <c r="F444" s="72">
        <v>0.0</v>
      </c>
      <c r="G444" s="74">
        <v>0.0</v>
      </c>
      <c r="H444" s="84">
        <f t="shared" si="1"/>
        <v>375</v>
      </c>
      <c r="I444" s="76" t="str">
        <f t="shared" si="2"/>
        <v>diciembre</v>
      </c>
      <c r="J444" s="76">
        <f t="shared" si="3"/>
        <v>2025</v>
      </c>
    </row>
    <row r="445" ht="22.5" customHeight="1">
      <c r="A445" s="69">
        <v>46018.0</v>
      </c>
      <c r="B445" s="70" t="s">
        <v>70</v>
      </c>
      <c r="C445" s="70" t="s">
        <v>143</v>
      </c>
      <c r="D445" s="70" t="s">
        <v>237</v>
      </c>
      <c r="E445" s="84">
        <f t="array" ref="E445">XLOOKUP($D445,concepto_salarios,monto_salarios,0)</f>
        <v>45</v>
      </c>
      <c r="F445" s="72">
        <v>0.0</v>
      </c>
      <c r="G445" s="74">
        <v>0.0</v>
      </c>
      <c r="H445" s="84">
        <f t="shared" si="1"/>
        <v>45</v>
      </c>
      <c r="I445" s="76" t="str">
        <f t="shared" si="2"/>
        <v>diciembre</v>
      </c>
      <c r="J445" s="76">
        <f t="shared" si="3"/>
        <v>2025</v>
      </c>
    </row>
    <row r="446" ht="22.5" customHeight="1">
      <c r="A446" s="69">
        <v>46018.0</v>
      </c>
      <c r="B446" s="70" t="s">
        <v>70</v>
      </c>
      <c r="C446" s="70" t="s">
        <v>143</v>
      </c>
      <c r="D446" s="70" t="s">
        <v>241</v>
      </c>
      <c r="E446" s="84">
        <f t="array" ref="E446">XLOOKUP($D446,concepto_salarios,monto_salarios,0)</f>
        <v>60</v>
      </c>
      <c r="F446" s="72">
        <v>0.0</v>
      </c>
      <c r="G446" s="74">
        <v>0.0</v>
      </c>
      <c r="H446" s="84">
        <f t="shared" si="1"/>
        <v>60</v>
      </c>
      <c r="I446" s="76" t="str">
        <f t="shared" si="2"/>
        <v>diciembre</v>
      </c>
      <c r="J446" s="76">
        <f t="shared" si="3"/>
        <v>2025</v>
      </c>
    </row>
    <row r="447" ht="22.5" customHeight="1">
      <c r="A447" s="69">
        <v>46018.0</v>
      </c>
      <c r="B447" s="70" t="s">
        <v>70</v>
      </c>
      <c r="C447" s="70" t="s">
        <v>143</v>
      </c>
      <c r="D447" s="70" t="s">
        <v>178</v>
      </c>
      <c r="E447" s="84">
        <f t="array" ref="E447">XLOOKUP($D447,concepto_salarios,monto_salarios,0)</f>
        <v>60</v>
      </c>
      <c r="F447" s="72">
        <v>0.0</v>
      </c>
      <c r="G447" s="74">
        <v>0.0</v>
      </c>
      <c r="H447" s="84">
        <f t="shared" si="1"/>
        <v>60</v>
      </c>
      <c r="I447" s="76" t="str">
        <f t="shared" si="2"/>
        <v>diciembre</v>
      </c>
      <c r="J447" s="76">
        <f t="shared" si="3"/>
        <v>2025</v>
      </c>
    </row>
    <row r="448" ht="22.5" customHeight="1">
      <c r="A448" s="69">
        <v>46018.0</v>
      </c>
      <c r="B448" s="70" t="s">
        <v>70</v>
      </c>
      <c r="C448" s="70" t="s">
        <v>140</v>
      </c>
      <c r="D448" s="70" t="s">
        <v>146</v>
      </c>
      <c r="E448" s="84">
        <f t="array" ref="E448">XLOOKUP($D448,concepto_salarios,monto_salarios,0)</f>
        <v>450</v>
      </c>
      <c r="F448" s="72">
        <v>0.0</v>
      </c>
      <c r="G448" s="74">
        <v>0.0</v>
      </c>
      <c r="H448" s="84">
        <f t="shared" si="1"/>
        <v>450</v>
      </c>
      <c r="I448" s="76" t="str">
        <f t="shared" si="2"/>
        <v>diciembre</v>
      </c>
      <c r="J448" s="76">
        <f t="shared" si="3"/>
        <v>2025</v>
      </c>
    </row>
    <row r="449" ht="22.5" customHeight="1">
      <c r="A449" s="69">
        <v>46018.0</v>
      </c>
      <c r="B449" s="70" t="s">
        <v>81</v>
      </c>
      <c r="C449" s="70" t="s">
        <v>142</v>
      </c>
      <c r="D449" s="70" t="s">
        <v>187</v>
      </c>
      <c r="E449" s="84">
        <f t="array" ref="E449">XLOOKUP($D449,concepto_salarios,monto_salarios,0)</f>
        <v>720</v>
      </c>
      <c r="F449" s="72">
        <v>0.0</v>
      </c>
      <c r="G449" s="74">
        <v>0.0</v>
      </c>
      <c r="H449" s="84">
        <f t="shared" si="1"/>
        <v>720</v>
      </c>
      <c r="I449" s="76" t="str">
        <f t="shared" si="2"/>
        <v>diciembre</v>
      </c>
      <c r="J449" s="76">
        <f t="shared" si="3"/>
        <v>2025</v>
      </c>
    </row>
    <row r="450" ht="22.5" customHeight="1">
      <c r="A450" s="69">
        <v>46018.0</v>
      </c>
      <c r="B450" s="70" t="s">
        <v>81</v>
      </c>
      <c r="C450" s="70" t="s">
        <v>142</v>
      </c>
      <c r="D450" s="70" t="s">
        <v>245</v>
      </c>
      <c r="E450" s="84">
        <f t="array" ref="E450">XLOOKUP($D450,concepto_salarios,monto_salarios,0)</f>
        <v>200</v>
      </c>
      <c r="F450" s="72">
        <v>0.0</v>
      </c>
      <c r="G450" s="74">
        <v>0.0</v>
      </c>
      <c r="H450" s="84">
        <f t="shared" si="1"/>
        <v>200</v>
      </c>
      <c r="I450" s="76" t="str">
        <f t="shared" si="2"/>
        <v>diciembre</v>
      </c>
      <c r="J450" s="76">
        <f t="shared" si="3"/>
        <v>2025</v>
      </c>
    </row>
    <row r="451" ht="22.5" customHeight="1">
      <c r="A451" s="69">
        <v>46019.0</v>
      </c>
      <c r="B451" s="70" t="s">
        <v>73</v>
      </c>
      <c r="C451" s="70" t="s">
        <v>148</v>
      </c>
      <c r="D451" s="70" t="s">
        <v>205</v>
      </c>
      <c r="E451" s="84">
        <f t="array" ref="E451">XLOOKUP($D451,concepto_salarios,monto_salarios,0)</f>
        <v>375</v>
      </c>
      <c r="F451" s="72">
        <v>0.0</v>
      </c>
      <c r="G451" s="74">
        <v>0.0</v>
      </c>
      <c r="H451" s="84">
        <f t="shared" si="1"/>
        <v>375</v>
      </c>
      <c r="I451" s="76" t="str">
        <f t="shared" si="2"/>
        <v>diciembre</v>
      </c>
      <c r="J451" s="76">
        <f t="shared" si="3"/>
        <v>2025</v>
      </c>
    </row>
    <row r="452" ht="22.5" customHeight="1">
      <c r="A452" s="69">
        <v>46019.0</v>
      </c>
      <c r="B452" s="70" t="s">
        <v>73</v>
      </c>
      <c r="C452" s="70" t="s">
        <v>143</v>
      </c>
      <c r="D452" s="70" t="s">
        <v>242</v>
      </c>
      <c r="E452" s="84">
        <f t="array" ref="E452">XLOOKUP($D452,concepto_salarios,monto_salarios,0)</f>
        <v>45</v>
      </c>
      <c r="F452" s="72">
        <v>0.0</v>
      </c>
      <c r="G452" s="74">
        <v>0.0</v>
      </c>
      <c r="H452" s="84">
        <f t="shared" si="1"/>
        <v>45</v>
      </c>
      <c r="I452" s="76" t="str">
        <f t="shared" si="2"/>
        <v>diciembre</v>
      </c>
      <c r="J452" s="76">
        <f t="shared" si="3"/>
        <v>2025</v>
      </c>
    </row>
    <row r="453" ht="22.5" customHeight="1">
      <c r="A453" s="69">
        <v>46019.0</v>
      </c>
      <c r="B453" s="70" t="s">
        <v>70</v>
      </c>
      <c r="C453" s="70" t="s">
        <v>148</v>
      </c>
      <c r="D453" s="70" t="s">
        <v>205</v>
      </c>
      <c r="E453" s="84">
        <f t="array" ref="E453">XLOOKUP($D453,concepto_salarios,monto_salarios,0)</f>
        <v>375</v>
      </c>
      <c r="F453" s="72">
        <v>0.0</v>
      </c>
      <c r="G453" s="74">
        <v>0.0</v>
      </c>
      <c r="H453" s="84">
        <f t="shared" si="1"/>
        <v>375</v>
      </c>
      <c r="I453" s="76" t="str">
        <f t="shared" si="2"/>
        <v>diciembre</v>
      </c>
      <c r="J453" s="76">
        <f t="shared" si="3"/>
        <v>2025</v>
      </c>
    </row>
    <row r="454" ht="22.5" customHeight="1">
      <c r="A454" s="69">
        <v>46019.0</v>
      </c>
      <c r="B454" s="70" t="s">
        <v>70</v>
      </c>
      <c r="C454" s="70" t="s">
        <v>143</v>
      </c>
      <c r="D454" s="70" t="s">
        <v>242</v>
      </c>
      <c r="E454" s="84">
        <f t="array" ref="E454">XLOOKUP($D454,concepto_salarios,monto_salarios,0)</f>
        <v>45</v>
      </c>
      <c r="F454" s="72">
        <v>0.0</v>
      </c>
      <c r="G454" s="74">
        <v>0.0</v>
      </c>
      <c r="H454" s="84">
        <f t="shared" si="1"/>
        <v>45</v>
      </c>
      <c r="I454" s="76" t="str">
        <f t="shared" si="2"/>
        <v>diciembre</v>
      </c>
      <c r="J454" s="76">
        <f t="shared" si="3"/>
        <v>2025</v>
      </c>
    </row>
    <row r="455" ht="22.5" customHeight="1">
      <c r="A455" s="69">
        <v>46021.0</v>
      </c>
      <c r="B455" s="70" t="s">
        <v>51</v>
      </c>
      <c r="C455" s="70" t="s">
        <v>142</v>
      </c>
      <c r="D455" s="70" t="s">
        <v>204</v>
      </c>
      <c r="E455" s="84">
        <f t="array" ref="E455">XLOOKUP($D455,concepto_salarios,monto_salarios,0)</f>
        <v>684</v>
      </c>
      <c r="F455" s="72">
        <v>0.0</v>
      </c>
      <c r="G455" s="74">
        <v>0.0</v>
      </c>
      <c r="H455" s="84">
        <f t="shared" si="1"/>
        <v>684</v>
      </c>
      <c r="I455" s="76" t="str">
        <f t="shared" si="2"/>
        <v>diciembre</v>
      </c>
      <c r="J455" s="76">
        <f t="shared" si="3"/>
        <v>2025</v>
      </c>
    </row>
    <row r="456" ht="22.5" customHeight="1">
      <c r="A456" s="69">
        <v>46021.0</v>
      </c>
      <c r="B456" s="70" t="s">
        <v>41</v>
      </c>
      <c r="C456" s="70" t="s">
        <v>140</v>
      </c>
      <c r="D456" s="70" t="s">
        <v>146</v>
      </c>
      <c r="E456" s="84">
        <f t="array" ref="E456">XLOOKUP($D456,concepto_salarios,monto_salarios,0)</f>
        <v>450</v>
      </c>
      <c r="F456" s="72">
        <v>0.0</v>
      </c>
      <c r="G456" s="79">
        <v>150.0</v>
      </c>
      <c r="H456" s="84">
        <f t="shared" si="1"/>
        <v>600</v>
      </c>
      <c r="I456" s="76" t="str">
        <f t="shared" si="2"/>
        <v>diciembre</v>
      </c>
      <c r="J456" s="76">
        <f t="shared" si="3"/>
        <v>2025</v>
      </c>
    </row>
    <row r="457" ht="22.5" customHeight="1">
      <c r="A457" s="69">
        <v>46021.0</v>
      </c>
      <c r="B457" s="70" t="s">
        <v>66</v>
      </c>
      <c r="C457" s="70" t="s">
        <v>142</v>
      </c>
      <c r="D457" s="70" t="s">
        <v>207</v>
      </c>
      <c r="E457" s="84">
        <f t="array" ref="E457">XLOOKUP($D457,concepto_salarios,monto_salarios,0)</f>
        <v>606</v>
      </c>
      <c r="F457" s="72">
        <v>0.0</v>
      </c>
      <c r="G457" s="79">
        <v>100.0</v>
      </c>
      <c r="H457" s="84">
        <f t="shared" si="1"/>
        <v>706</v>
      </c>
      <c r="I457" s="76" t="str">
        <f t="shared" si="2"/>
        <v>diciembre</v>
      </c>
      <c r="J457" s="76">
        <f t="shared" si="3"/>
        <v>2025</v>
      </c>
    </row>
    <row r="458" ht="22.5" customHeight="1">
      <c r="A458" s="69">
        <v>46022.0</v>
      </c>
      <c r="B458" s="70" t="s">
        <v>46</v>
      </c>
      <c r="C458" s="70" t="s">
        <v>140</v>
      </c>
      <c r="D458" s="70" t="s">
        <v>199</v>
      </c>
      <c r="E458" s="84">
        <f t="array" ref="E458">XLOOKUP($D458,concepto_salarios,monto_salarios,0)</f>
        <v>100</v>
      </c>
      <c r="F458" s="72">
        <v>0.0</v>
      </c>
      <c r="G458" s="74">
        <v>0.0</v>
      </c>
      <c r="H458" s="84">
        <f t="shared" si="1"/>
        <v>100</v>
      </c>
      <c r="I458" s="76" t="str">
        <f t="shared" si="2"/>
        <v>diciembre</v>
      </c>
      <c r="J458" s="76">
        <f t="shared" si="3"/>
        <v>2025</v>
      </c>
    </row>
    <row r="459" ht="22.5" customHeight="1">
      <c r="A459" s="69">
        <v>46022.0</v>
      </c>
      <c r="B459" s="70" t="s">
        <v>46</v>
      </c>
      <c r="C459" s="70" t="s">
        <v>140</v>
      </c>
      <c r="D459" s="70" t="s">
        <v>199</v>
      </c>
      <c r="E459" s="84">
        <f t="array" ref="E459">XLOOKUP($D459,concepto_salarios,monto_salarios,0)</f>
        <v>100</v>
      </c>
      <c r="F459" s="72">
        <v>0.0</v>
      </c>
      <c r="G459" s="74">
        <v>0.0</v>
      </c>
      <c r="H459" s="84">
        <f t="shared" si="1"/>
        <v>100</v>
      </c>
      <c r="I459" s="76" t="str">
        <f t="shared" si="2"/>
        <v>diciembre</v>
      </c>
      <c r="J459" s="76">
        <f t="shared" si="3"/>
        <v>2025</v>
      </c>
    </row>
    <row r="460" ht="22.5" customHeight="1">
      <c r="A460" s="69">
        <v>46022.0</v>
      </c>
      <c r="B460" s="70" t="s">
        <v>46</v>
      </c>
      <c r="C460" s="70" t="s">
        <v>143</v>
      </c>
      <c r="D460" s="70" t="s">
        <v>211</v>
      </c>
      <c r="E460" s="84">
        <f t="array" ref="E460">XLOOKUP($D460,concepto_salarios,monto_salarios,0)</f>
        <v>45</v>
      </c>
      <c r="F460" s="72">
        <v>0.0</v>
      </c>
      <c r="G460" s="74">
        <v>0.0</v>
      </c>
      <c r="H460" s="84">
        <f t="shared" si="1"/>
        <v>45</v>
      </c>
      <c r="I460" s="76" t="str">
        <f t="shared" si="2"/>
        <v>diciembre</v>
      </c>
      <c r="J460" s="76">
        <f t="shared" si="3"/>
        <v>2025</v>
      </c>
    </row>
    <row r="461" ht="22.5" customHeight="1">
      <c r="A461" s="69">
        <v>46022.0</v>
      </c>
      <c r="B461" s="70" t="s">
        <v>51</v>
      </c>
      <c r="C461" s="70" t="s">
        <v>140</v>
      </c>
      <c r="D461" s="70" t="s">
        <v>201</v>
      </c>
      <c r="E461" s="84">
        <f t="array" ref="E461">XLOOKUP($D461,concepto_salarios,monto_salarios,0)</f>
        <v>100</v>
      </c>
      <c r="F461" s="72">
        <v>0.0</v>
      </c>
      <c r="G461" s="74">
        <v>0.0</v>
      </c>
      <c r="H461" s="84">
        <f t="shared" si="1"/>
        <v>100</v>
      </c>
      <c r="I461" s="76" t="str">
        <f t="shared" si="2"/>
        <v>diciembre</v>
      </c>
      <c r="J461" s="76">
        <f t="shared" si="3"/>
        <v>2025</v>
      </c>
    </row>
    <row r="462" ht="22.5" customHeight="1">
      <c r="A462" s="69">
        <v>46022.0</v>
      </c>
      <c r="B462" s="70" t="s">
        <v>51</v>
      </c>
      <c r="C462" s="70" t="s">
        <v>140</v>
      </c>
      <c r="D462" s="70" t="s">
        <v>201</v>
      </c>
      <c r="E462" s="84">
        <f t="array" ref="E462">XLOOKUP($D462,concepto_salarios,monto_salarios,0)</f>
        <v>100</v>
      </c>
      <c r="F462" s="72">
        <v>0.0</v>
      </c>
      <c r="G462" s="74">
        <v>0.0</v>
      </c>
      <c r="H462" s="84">
        <f t="shared" si="1"/>
        <v>100</v>
      </c>
      <c r="I462" s="76" t="str">
        <f t="shared" si="2"/>
        <v>diciembre</v>
      </c>
      <c r="J462" s="76">
        <f t="shared" si="3"/>
        <v>2025</v>
      </c>
    </row>
    <row r="463" ht="22.5" customHeight="1">
      <c r="A463" s="69">
        <v>46022.0</v>
      </c>
      <c r="B463" s="70" t="s">
        <v>51</v>
      </c>
      <c r="C463" s="70" t="s">
        <v>143</v>
      </c>
      <c r="D463" s="70" t="s">
        <v>192</v>
      </c>
      <c r="E463" s="84">
        <f t="array" ref="E463">XLOOKUP($D463,concepto_salarios,monto_salarios,0)</f>
        <v>50</v>
      </c>
      <c r="F463" s="72">
        <v>0.0</v>
      </c>
      <c r="G463" s="74">
        <v>0.0</v>
      </c>
      <c r="H463" s="84">
        <f t="shared" si="1"/>
        <v>50</v>
      </c>
      <c r="I463" s="76" t="str">
        <f t="shared" si="2"/>
        <v>diciembre</v>
      </c>
      <c r="J463" s="76">
        <f t="shared" si="3"/>
        <v>2025</v>
      </c>
    </row>
    <row r="464" ht="22.5" customHeight="1">
      <c r="A464" s="69">
        <v>46022.0</v>
      </c>
      <c r="B464" s="70" t="s">
        <v>51</v>
      </c>
      <c r="C464" s="70" t="s">
        <v>143</v>
      </c>
      <c r="D464" s="70" t="s">
        <v>240</v>
      </c>
      <c r="E464" s="84">
        <f t="array" ref="E464">XLOOKUP($D464,concepto_salarios,monto_salarios,0)</f>
        <v>45</v>
      </c>
      <c r="F464" s="72">
        <v>0.0</v>
      </c>
      <c r="G464" s="74">
        <v>0.0</v>
      </c>
      <c r="H464" s="84">
        <f t="shared" si="1"/>
        <v>45</v>
      </c>
      <c r="I464" s="76" t="str">
        <f t="shared" si="2"/>
        <v>diciembre</v>
      </c>
      <c r="J464" s="76">
        <f t="shared" si="3"/>
        <v>2025</v>
      </c>
    </row>
    <row r="465" ht="22.5" customHeight="1">
      <c r="A465" s="69">
        <v>46022.0</v>
      </c>
      <c r="B465" s="70" t="s">
        <v>70</v>
      </c>
      <c r="C465" s="70" t="s">
        <v>140</v>
      </c>
      <c r="D465" s="70" t="s">
        <v>199</v>
      </c>
      <c r="E465" s="84">
        <f t="array" ref="E465">XLOOKUP($D465,concepto_salarios,monto_salarios,0)</f>
        <v>100</v>
      </c>
      <c r="F465" s="72">
        <v>0.0</v>
      </c>
      <c r="G465" s="74">
        <v>0.0</v>
      </c>
      <c r="H465" s="84">
        <f t="shared" si="1"/>
        <v>100</v>
      </c>
      <c r="I465" s="76" t="str">
        <f t="shared" si="2"/>
        <v>diciembre</v>
      </c>
      <c r="J465" s="76">
        <f t="shared" si="3"/>
        <v>2025</v>
      </c>
    </row>
    <row r="466" ht="22.5" customHeight="1">
      <c r="A466" s="69">
        <v>46022.0</v>
      </c>
      <c r="B466" s="70" t="s">
        <v>70</v>
      </c>
      <c r="C466" s="70" t="s">
        <v>143</v>
      </c>
      <c r="D466" s="70" t="s">
        <v>183</v>
      </c>
      <c r="E466" s="84">
        <f t="array" ref="E466">XLOOKUP($D466,concepto_salarios,monto_salarios,0)</f>
        <v>50</v>
      </c>
      <c r="F466" s="72">
        <v>0.0</v>
      </c>
      <c r="G466" s="74">
        <v>0.0</v>
      </c>
      <c r="H466" s="84">
        <f t="shared" si="1"/>
        <v>50</v>
      </c>
      <c r="I466" s="76" t="str">
        <f t="shared" si="2"/>
        <v>diciembre</v>
      </c>
      <c r="J466" s="76">
        <f t="shared" si="3"/>
        <v>2025</v>
      </c>
    </row>
    <row r="467" ht="22.5" customHeight="1">
      <c r="A467" s="69">
        <v>46022.0</v>
      </c>
      <c r="B467" s="70" t="s">
        <v>66</v>
      </c>
      <c r="C467" s="70" t="s">
        <v>140</v>
      </c>
      <c r="D467" s="70" t="s">
        <v>199</v>
      </c>
      <c r="E467" s="84">
        <f t="array" ref="E467">XLOOKUP($D467,concepto_salarios,monto_salarios,0)</f>
        <v>100</v>
      </c>
      <c r="F467" s="72">
        <v>0.0</v>
      </c>
      <c r="G467" s="74">
        <v>0.0</v>
      </c>
      <c r="H467" s="84">
        <f t="shared" si="1"/>
        <v>100</v>
      </c>
      <c r="I467" s="76" t="str">
        <f t="shared" si="2"/>
        <v>diciembre</v>
      </c>
      <c r="J467" s="76">
        <f t="shared" si="3"/>
        <v>2025</v>
      </c>
    </row>
    <row r="468" ht="22.5" customHeight="1">
      <c r="A468" s="69">
        <v>46022.0</v>
      </c>
      <c r="B468" s="70" t="s">
        <v>66</v>
      </c>
      <c r="C468" s="70" t="s">
        <v>143</v>
      </c>
      <c r="D468" s="70" t="s">
        <v>183</v>
      </c>
      <c r="E468" s="84">
        <f t="array" ref="E468">XLOOKUP($D468,concepto_salarios,monto_salarios,0)</f>
        <v>50</v>
      </c>
      <c r="F468" s="72">
        <v>0.0</v>
      </c>
      <c r="G468" s="74">
        <v>0.0</v>
      </c>
      <c r="H468" s="84">
        <f t="shared" si="1"/>
        <v>50</v>
      </c>
      <c r="I468" s="76" t="str">
        <f t="shared" si="2"/>
        <v>diciembre</v>
      </c>
      <c r="J468" s="76">
        <f t="shared" si="3"/>
        <v>2025</v>
      </c>
    </row>
    <row r="469" ht="22.5" customHeight="1">
      <c r="A469" s="69">
        <v>46022.0</v>
      </c>
      <c r="B469" s="70" t="s">
        <v>66</v>
      </c>
      <c r="C469" s="70" t="s">
        <v>163</v>
      </c>
      <c r="D469" s="70" t="s">
        <v>164</v>
      </c>
      <c r="E469" s="84">
        <f t="array" ref="E469">XLOOKUP($D469,concepto_salarios,monto_salarios,0)</f>
        <v>100</v>
      </c>
      <c r="F469" s="72">
        <v>0.0</v>
      </c>
      <c r="G469" s="74">
        <v>0.0</v>
      </c>
      <c r="H469" s="84">
        <f t="shared" si="1"/>
        <v>100</v>
      </c>
      <c r="I469" s="76" t="str">
        <f t="shared" si="2"/>
        <v>diciembre</v>
      </c>
      <c r="J469" s="76">
        <f t="shared" si="3"/>
        <v>2025</v>
      </c>
    </row>
    <row r="470" ht="22.5" customHeight="1">
      <c r="A470" s="69">
        <v>46022.0</v>
      </c>
      <c r="B470" s="70" t="s">
        <v>66</v>
      </c>
      <c r="C470" s="70" t="s">
        <v>163</v>
      </c>
      <c r="D470" s="70" t="s">
        <v>164</v>
      </c>
      <c r="E470" s="84">
        <f t="array" ref="E470">XLOOKUP($D470,concepto_salarios,monto_salarios,0)</f>
        <v>100</v>
      </c>
      <c r="F470" s="72">
        <v>0.0</v>
      </c>
      <c r="G470" s="74">
        <v>0.0</v>
      </c>
      <c r="H470" s="84">
        <f t="shared" si="1"/>
        <v>100</v>
      </c>
      <c r="I470" s="76" t="str">
        <f t="shared" si="2"/>
        <v>diciembre</v>
      </c>
      <c r="J470" s="76">
        <f t="shared" si="3"/>
        <v>2025</v>
      </c>
    </row>
    <row r="471" ht="22.5" customHeight="1">
      <c r="A471" s="69">
        <v>46022.0</v>
      </c>
      <c r="B471" s="70" t="s">
        <v>56</v>
      </c>
      <c r="C471" s="70" t="s">
        <v>140</v>
      </c>
      <c r="D471" s="70" t="s">
        <v>199</v>
      </c>
      <c r="E471" s="84">
        <f t="array" ref="E471">XLOOKUP($D471,concepto_salarios,monto_salarios,0)</f>
        <v>100</v>
      </c>
      <c r="F471" s="72">
        <v>0.0</v>
      </c>
      <c r="G471" s="74">
        <v>0.0</v>
      </c>
      <c r="H471" s="84">
        <f t="shared" si="1"/>
        <v>100</v>
      </c>
      <c r="I471" s="76" t="str">
        <f t="shared" si="2"/>
        <v>diciembre</v>
      </c>
      <c r="J471" s="76">
        <f t="shared" si="3"/>
        <v>2025</v>
      </c>
    </row>
    <row r="472" ht="22.5" customHeight="1">
      <c r="A472" s="69">
        <v>46022.0</v>
      </c>
      <c r="B472" s="70" t="s">
        <v>56</v>
      </c>
      <c r="C472" s="70" t="s">
        <v>140</v>
      </c>
      <c r="D472" s="70" t="s">
        <v>199</v>
      </c>
      <c r="E472" s="84">
        <f t="array" ref="E472">XLOOKUP($D472,concepto_salarios,monto_salarios,0)</f>
        <v>100</v>
      </c>
      <c r="F472" s="72">
        <v>0.0</v>
      </c>
      <c r="G472" s="74">
        <v>0.0</v>
      </c>
      <c r="H472" s="84">
        <f t="shared" si="1"/>
        <v>100</v>
      </c>
      <c r="I472" s="76" t="str">
        <f t="shared" si="2"/>
        <v>diciembre</v>
      </c>
      <c r="J472" s="76">
        <f t="shared" si="3"/>
        <v>2025</v>
      </c>
    </row>
    <row r="473" ht="22.5" customHeight="1">
      <c r="A473" s="69">
        <v>46022.0</v>
      </c>
      <c r="B473" s="70" t="s">
        <v>56</v>
      </c>
      <c r="C473" s="70" t="s">
        <v>143</v>
      </c>
      <c r="D473" s="70" t="s">
        <v>165</v>
      </c>
      <c r="E473" s="84">
        <f t="array" ref="E473">XLOOKUP($D473,concepto_salarios,monto_salarios,0)</f>
        <v>90</v>
      </c>
      <c r="F473" s="72">
        <v>0.0</v>
      </c>
      <c r="G473" s="74">
        <v>0.0</v>
      </c>
      <c r="H473" s="84">
        <f t="shared" si="1"/>
        <v>90</v>
      </c>
      <c r="I473" s="76" t="str">
        <f t="shared" si="2"/>
        <v>diciembre</v>
      </c>
      <c r="J473" s="76">
        <f t="shared" si="3"/>
        <v>2025</v>
      </c>
    </row>
    <row r="474" ht="22.5" customHeight="1">
      <c r="A474" s="69">
        <v>46022.0</v>
      </c>
      <c r="B474" s="70" t="s">
        <v>56</v>
      </c>
      <c r="C474" s="70" t="s">
        <v>140</v>
      </c>
      <c r="D474" s="70" t="s">
        <v>201</v>
      </c>
      <c r="E474" s="84">
        <f t="array" ref="E474">XLOOKUP($D474,concepto_salarios,monto_salarios,0)</f>
        <v>100</v>
      </c>
      <c r="F474" s="72">
        <v>0.0</v>
      </c>
      <c r="G474" s="74">
        <v>0.0</v>
      </c>
      <c r="H474" s="84">
        <f t="shared" si="1"/>
        <v>100</v>
      </c>
      <c r="I474" s="76" t="str">
        <f t="shared" si="2"/>
        <v>diciembre</v>
      </c>
      <c r="J474" s="76">
        <f t="shared" si="3"/>
        <v>2025</v>
      </c>
    </row>
    <row r="475" ht="22.5" customHeight="1">
      <c r="A475" s="69">
        <v>46022.0</v>
      </c>
      <c r="B475" s="70" t="s">
        <v>56</v>
      </c>
      <c r="C475" s="70" t="s">
        <v>140</v>
      </c>
      <c r="D475" s="70" t="s">
        <v>201</v>
      </c>
      <c r="E475" s="84">
        <f t="array" ref="E475">XLOOKUP($D475,concepto_salarios,monto_salarios,0)</f>
        <v>100</v>
      </c>
      <c r="F475" s="72">
        <v>0.0</v>
      </c>
      <c r="G475" s="74">
        <v>0.0</v>
      </c>
      <c r="H475" s="84">
        <f t="shared" si="1"/>
        <v>100</v>
      </c>
      <c r="I475" s="76" t="str">
        <f t="shared" si="2"/>
        <v>diciembre</v>
      </c>
      <c r="J475" s="76">
        <f t="shared" si="3"/>
        <v>2025</v>
      </c>
    </row>
    <row r="476" ht="22.5" customHeight="1">
      <c r="A476" s="69">
        <v>46022.0</v>
      </c>
      <c r="B476" s="70" t="s">
        <v>56</v>
      </c>
      <c r="C476" s="70" t="s">
        <v>143</v>
      </c>
      <c r="D476" s="70" t="s">
        <v>192</v>
      </c>
      <c r="E476" s="84">
        <f t="array" ref="E476">XLOOKUP($D476,concepto_salarios,monto_salarios,0)</f>
        <v>50</v>
      </c>
      <c r="F476" s="72">
        <v>0.0</v>
      </c>
      <c r="G476" s="74">
        <v>0.0</v>
      </c>
      <c r="H476" s="84">
        <f t="shared" si="1"/>
        <v>50</v>
      </c>
      <c r="I476" s="76" t="str">
        <f t="shared" si="2"/>
        <v>diciembre</v>
      </c>
      <c r="J476" s="76">
        <f t="shared" si="3"/>
        <v>2025</v>
      </c>
    </row>
    <row r="477" ht="22.5" customHeight="1">
      <c r="A477" s="69">
        <v>46025.0</v>
      </c>
      <c r="B477" s="70" t="s">
        <v>79</v>
      </c>
      <c r="C477" s="70" t="s">
        <v>140</v>
      </c>
      <c r="D477" s="70" t="s">
        <v>145</v>
      </c>
      <c r="E477" s="84">
        <f t="array" ref="E477">XLOOKUP($D477,concepto_salarios,monto_salarios,0)</f>
        <v>350</v>
      </c>
      <c r="F477" s="72">
        <v>0.0</v>
      </c>
      <c r="G477" s="74">
        <v>0.0</v>
      </c>
      <c r="H477" s="84">
        <f t="shared" si="1"/>
        <v>350</v>
      </c>
      <c r="I477" s="76" t="str">
        <f t="shared" si="2"/>
        <v>enero</v>
      </c>
      <c r="J477" s="76">
        <f t="shared" si="3"/>
        <v>2026</v>
      </c>
    </row>
    <row r="478" ht="22.5" customHeight="1">
      <c r="A478" s="69">
        <v>46025.0</v>
      </c>
      <c r="B478" s="70" t="s">
        <v>79</v>
      </c>
      <c r="C478" s="70" t="s">
        <v>163</v>
      </c>
      <c r="D478" s="70" t="s">
        <v>196</v>
      </c>
      <c r="E478" s="84">
        <f t="array" ref="E478">XLOOKUP($D478,concepto_salarios,monto_salarios,0)</f>
        <v>100</v>
      </c>
      <c r="F478" s="72">
        <v>0.0</v>
      </c>
      <c r="G478" s="74">
        <v>0.0</v>
      </c>
      <c r="H478" s="84">
        <f t="shared" si="1"/>
        <v>100</v>
      </c>
      <c r="I478" s="76" t="str">
        <f t="shared" si="2"/>
        <v>enero</v>
      </c>
      <c r="J478" s="76">
        <f t="shared" si="3"/>
        <v>2026</v>
      </c>
    </row>
    <row r="479" ht="22.5" customHeight="1">
      <c r="A479" s="69">
        <v>46025.0</v>
      </c>
      <c r="B479" s="70" t="s">
        <v>79</v>
      </c>
      <c r="C479" s="70" t="s">
        <v>163</v>
      </c>
      <c r="D479" s="70" t="s">
        <v>164</v>
      </c>
      <c r="E479" s="84">
        <f t="array" ref="E479">XLOOKUP($D479,concepto_salarios,monto_salarios,0)</f>
        <v>100</v>
      </c>
      <c r="F479" s="72">
        <v>0.0</v>
      </c>
      <c r="G479" s="74">
        <v>0.0</v>
      </c>
      <c r="H479" s="84">
        <f t="shared" si="1"/>
        <v>100</v>
      </c>
      <c r="I479" s="76" t="str">
        <f t="shared" si="2"/>
        <v>enero</v>
      </c>
      <c r="J479" s="76">
        <f t="shared" si="3"/>
        <v>2026</v>
      </c>
    </row>
    <row r="480" ht="22.5" customHeight="1">
      <c r="A480" s="69">
        <v>46025.0</v>
      </c>
      <c r="B480" s="70" t="s">
        <v>73</v>
      </c>
      <c r="C480" s="70" t="s">
        <v>140</v>
      </c>
      <c r="D480" s="70" t="s">
        <v>145</v>
      </c>
      <c r="E480" s="84">
        <f t="array" ref="E480">XLOOKUP($D480,concepto_salarios,monto_salarios,0)</f>
        <v>350</v>
      </c>
      <c r="F480" s="72">
        <v>0.0</v>
      </c>
      <c r="G480" s="74">
        <v>0.0</v>
      </c>
      <c r="H480" s="84">
        <f t="shared" si="1"/>
        <v>350</v>
      </c>
      <c r="I480" s="76" t="str">
        <f t="shared" si="2"/>
        <v>enero</v>
      </c>
      <c r="J480" s="76">
        <f t="shared" si="3"/>
        <v>2026</v>
      </c>
    </row>
    <row r="481" ht="22.5" customHeight="1">
      <c r="A481" s="69">
        <v>46025.0</v>
      </c>
      <c r="B481" s="70" t="s">
        <v>73</v>
      </c>
      <c r="C481" s="70" t="s">
        <v>163</v>
      </c>
      <c r="D481" s="70" t="s">
        <v>196</v>
      </c>
      <c r="E481" s="84">
        <f t="array" ref="E481">XLOOKUP($D481,concepto_salarios,monto_salarios,0)</f>
        <v>100</v>
      </c>
      <c r="F481" s="72">
        <v>0.0</v>
      </c>
      <c r="G481" s="74">
        <v>0.0</v>
      </c>
      <c r="H481" s="84">
        <f t="shared" si="1"/>
        <v>100</v>
      </c>
      <c r="I481" s="76" t="str">
        <f t="shared" si="2"/>
        <v>enero</v>
      </c>
      <c r="J481" s="76">
        <f t="shared" si="3"/>
        <v>2026</v>
      </c>
    </row>
    <row r="482" ht="22.5" customHeight="1">
      <c r="A482" s="69">
        <v>46025.0</v>
      </c>
      <c r="B482" s="70" t="s">
        <v>73</v>
      </c>
      <c r="C482" s="70" t="s">
        <v>163</v>
      </c>
      <c r="D482" s="70" t="s">
        <v>164</v>
      </c>
      <c r="E482" s="84">
        <f t="array" ref="E482">XLOOKUP($D482,concepto_salarios,monto_salarios,0)</f>
        <v>100</v>
      </c>
      <c r="F482" s="72">
        <v>0.0</v>
      </c>
      <c r="G482" s="74">
        <v>0.0</v>
      </c>
      <c r="H482" s="84">
        <f t="shared" si="1"/>
        <v>100</v>
      </c>
      <c r="I482" s="76" t="str">
        <f t="shared" si="2"/>
        <v>enero</v>
      </c>
      <c r="J482" s="76">
        <f t="shared" si="3"/>
        <v>2026</v>
      </c>
    </row>
    <row r="483" ht="22.5" customHeight="1">
      <c r="A483" s="91">
        <v>46026.0</v>
      </c>
      <c r="B483" s="70" t="s">
        <v>46</v>
      </c>
      <c r="C483" s="70" t="s">
        <v>143</v>
      </c>
      <c r="D483" s="70" t="s">
        <v>216</v>
      </c>
      <c r="E483" s="84">
        <f t="array" ref="E483">XLOOKUP($D483,concepto_salarios,monto_salarios,0)</f>
        <v>100</v>
      </c>
      <c r="F483" s="72">
        <v>0.0</v>
      </c>
      <c r="G483" s="74">
        <v>0.0</v>
      </c>
      <c r="H483" s="84">
        <f t="shared" si="1"/>
        <v>100</v>
      </c>
      <c r="I483" s="76" t="str">
        <f t="shared" si="2"/>
        <v>enero</v>
      </c>
      <c r="J483" s="76">
        <f t="shared" si="3"/>
        <v>2026</v>
      </c>
    </row>
    <row r="484" ht="22.5" customHeight="1">
      <c r="A484" s="88">
        <v>46026.0</v>
      </c>
      <c r="B484" s="70" t="s">
        <v>56</v>
      </c>
      <c r="C484" s="70" t="s">
        <v>143</v>
      </c>
      <c r="D484" s="70" t="s">
        <v>216</v>
      </c>
      <c r="E484" s="84">
        <f t="array" ref="E484">XLOOKUP($D484,concepto_salarios,monto_salarios,0)</f>
        <v>100</v>
      </c>
      <c r="F484" s="72">
        <v>0.0</v>
      </c>
      <c r="G484" s="74">
        <v>0.0</v>
      </c>
      <c r="H484" s="84">
        <f t="shared" si="1"/>
        <v>100</v>
      </c>
      <c r="I484" s="76" t="str">
        <f t="shared" si="2"/>
        <v>enero</v>
      </c>
      <c r="J484" s="76">
        <f t="shared" si="3"/>
        <v>2026</v>
      </c>
    </row>
    <row r="485" ht="22.5" customHeight="1">
      <c r="A485" s="69">
        <v>46028.0</v>
      </c>
      <c r="B485" s="70" t="s">
        <v>73</v>
      </c>
      <c r="C485" s="70" t="s">
        <v>140</v>
      </c>
      <c r="D485" s="70" t="s">
        <v>145</v>
      </c>
      <c r="E485" s="84">
        <f t="array" ref="E485">XLOOKUP($D485,concepto_salarios,monto_salarios,0)</f>
        <v>350</v>
      </c>
      <c r="F485" s="72">
        <v>0.0</v>
      </c>
      <c r="G485" s="74">
        <v>0.0</v>
      </c>
      <c r="H485" s="84">
        <f t="shared" si="1"/>
        <v>350</v>
      </c>
      <c r="I485" s="76" t="str">
        <f t="shared" si="2"/>
        <v>enero</v>
      </c>
      <c r="J485" s="76">
        <f t="shared" si="3"/>
        <v>2026</v>
      </c>
    </row>
    <row r="486" ht="22.5" customHeight="1">
      <c r="A486" s="69">
        <v>46028.0</v>
      </c>
      <c r="B486" s="70" t="s">
        <v>70</v>
      </c>
      <c r="C486" s="70" t="s">
        <v>140</v>
      </c>
      <c r="D486" s="70" t="s">
        <v>145</v>
      </c>
      <c r="E486" s="84">
        <f t="array" ref="E486">XLOOKUP($D486,concepto_salarios,monto_salarios,0)</f>
        <v>350</v>
      </c>
      <c r="F486" s="72">
        <v>0.0</v>
      </c>
      <c r="G486" s="74">
        <v>0.0</v>
      </c>
      <c r="H486" s="84">
        <f t="shared" si="1"/>
        <v>350</v>
      </c>
      <c r="I486" s="76" t="str">
        <f t="shared" si="2"/>
        <v>enero</v>
      </c>
      <c r="J486" s="76">
        <f t="shared" si="3"/>
        <v>2026</v>
      </c>
    </row>
    <row r="487" ht="22.5" customHeight="1">
      <c r="A487" s="69">
        <v>46028.0</v>
      </c>
      <c r="B487" s="70" t="s">
        <v>70</v>
      </c>
      <c r="C487" s="70" t="s">
        <v>163</v>
      </c>
      <c r="D487" s="70" t="s">
        <v>164</v>
      </c>
      <c r="E487" s="84">
        <f t="array" ref="E487">XLOOKUP($D487,concepto_salarios,monto_salarios,0)</f>
        <v>100</v>
      </c>
      <c r="F487" s="72">
        <v>0.0</v>
      </c>
      <c r="G487" s="74">
        <v>0.0</v>
      </c>
      <c r="H487" s="84">
        <f t="shared" si="1"/>
        <v>100</v>
      </c>
      <c r="I487" s="76" t="str">
        <f t="shared" si="2"/>
        <v>enero</v>
      </c>
      <c r="J487" s="76">
        <f t="shared" si="3"/>
        <v>2026</v>
      </c>
    </row>
    <row r="488" ht="22.5" customHeight="1">
      <c r="A488" s="69">
        <v>46030.0</v>
      </c>
      <c r="B488" s="70" t="s">
        <v>46</v>
      </c>
      <c r="C488" s="70" t="s">
        <v>143</v>
      </c>
      <c r="D488" s="70" t="s">
        <v>172</v>
      </c>
      <c r="E488" s="84">
        <f t="array" ref="E488">XLOOKUP($D488,concepto_salarios,monto_salarios,0)</f>
        <v>90</v>
      </c>
      <c r="F488" s="72">
        <v>0.0</v>
      </c>
      <c r="G488" s="74">
        <v>0.0</v>
      </c>
      <c r="H488" s="84">
        <f t="shared" si="1"/>
        <v>90</v>
      </c>
      <c r="I488" s="76" t="str">
        <f t="shared" si="2"/>
        <v>enero</v>
      </c>
      <c r="J488" s="76">
        <f t="shared" si="3"/>
        <v>2026</v>
      </c>
    </row>
    <row r="489" ht="22.5" customHeight="1">
      <c r="A489" s="69">
        <v>46030.0</v>
      </c>
      <c r="B489" s="70" t="s">
        <v>51</v>
      </c>
      <c r="C489" s="70" t="s">
        <v>143</v>
      </c>
      <c r="D489" s="70" t="s">
        <v>172</v>
      </c>
      <c r="E489" s="84">
        <f t="array" ref="E489">XLOOKUP($D489,concepto_salarios,monto_salarios,0)</f>
        <v>90</v>
      </c>
      <c r="F489" s="72">
        <v>0.0</v>
      </c>
      <c r="G489" s="74">
        <v>0.0</v>
      </c>
      <c r="H489" s="84">
        <f t="shared" si="1"/>
        <v>90</v>
      </c>
      <c r="I489" s="76" t="str">
        <f t="shared" si="2"/>
        <v>enero</v>
      </c>
      <c r="J489" s="76">
        <f t="shared" si="3"/>
        <v>2026</v>
      </c>
    </row>
    <row r="490" ht="22.5" customHeight="1">
      <c r="A490" s="69">
        <v>46032.0</v>
      </c>
      <c r="B490" s="70" t="s">
        <v>79</v>
      </c>
      <c r="C490" s="70" t="s">
        <v>140</v>
      </c>
      <c r="D490" s="70" t="s">
        <v>146</v>
      </c>
      <c r="E490" s="84">
        <f t="array" ref="E490">XLOOKUP($D490,concepto_salarios,monto_salarios,0)</f>
        <v>450</v>
      </c>
      <c r="F490" s="72">
        <v>0.0</v>
      </c>
      <c r="G490" s="74">
        <v>0.0</v>
      </c>
      <c r="H490" s="84">
        <f t="shared" si="1"/>
        <v>450</v>
      </c>
      <c r="I490" s="76" t="str">
        <f t="shared" si="2"/>
        <v>enero</v>
      </c>
      <c r="J490" s="76">
        <f t="shared" si="3"/>
        <v>2026</v>
      </c>
    </row>
    <row r="491" ht="22.5" customHeight="1">
      <c r="A491" s="69">
        <v>46032.0</v>
      </c>
      <c r="B491" s="70" t="s">
        <v>79</v>
      </c>
      <c r="C491" s="70" t="s">
        <v>163</v>
      </c>
      <c r="D491" s="70" t="s">
        <v>164</v>
      </c>
      <c r="E491" s="84">
        <f t="array" ref="E491">XLOOKUP($D491,concepto_salarios,monto_salarios,0)</f>
        <v>100</v>
      </c>
      <c r="F491" s="72">
        <v>0.0</v>
      </c>
      <c r="G491" s="74">
        <v>0.0</v>
      </c>
      <c r="H491" s="84">
        <f t="shared" si="1"/>
        <v>100</v>
      </c>
      <c r="I491" s="76" t="str">
        <f t="shared" si="2"/>
        <v>enero</v>
      </c>
      <c r="J491" s="76">
        <f t="shared" si="3"/>
        <v>2026</v>
      </c>
    </row>
    <row r="492" ht="22.5" customHeight="1">
      <c r="A492" s="69">
        <v>46032.0</v>
      </c>
      <c r="B492" s="70" t="s">
        <v>73</v>
      </c>
      <c r="C492" s="70" t="s">
        <v>140</v>
      </c>
      <c r="D492" s="70" t="s">
        <v>146</v>
      </c>
      <c r="E492" s="84">
        <f t="array" ref="E492">XLOOKUP($D492,concepto_salarios,monto_salarios,0)</f>
        <v>450</v>
      </c>
      <c r="F492" s="72">
        <v>0.0</v>
      </c>
      <c r="G492" s="74">
        <v>0.0</v>
      </c>
      <c r="H492" s="84">
        <f t="shared" si="1"/>
        <v>450</v>
      </c>
      <c r="I492" s="76" t="str">
        <f t="shared" si="2"/>
        <v>enero</v>
      </c>
      <c r="J492" s="76">
        <f t="shared" si="3"/>
        <v>2026</v>
      </c>
    </row>
    <row r="493" ht="22.5" customHeight="1">
      <c r="A493" s="69">
        <v>46032.0</v>
      </c>
      <c r="B493" s="70" t="s">
        <v>73</v>
      </c>
      <c r="C493" s="70" t="s">
        <v>163</v>
      </c>
      <c r="D493" s="70" t="s">
        <v>164</v>
      </c>
      <c r="E493" s="84">
        <f t="array" ref="E493">XLOOKUP($D493,concepto_salarios,monto_salarios,0)</f>
        <v>100</v>
      </c>
      <c r="F493" s="72">
        <v>0.0</v>
      </c>
      <c r="G493" s="74">
        <v>0.0</v>
      </c>
      <c r="H493" s="84">
        <f t="shared" si="1"/>
        <v>100</v>
      </c>
      <c r="I493" s="76" t="str">
        <f t="shared" si="2"/>
        <v>enero</v>
      </c>
      <c r="J493" s="76">
        <f t="shared" si="3"/>
        <v>2026</v>
      </c>
    </row>
    <row r="494" ht="22.5" customHeight="1">
      <c r="A494" s="69">
        <v>46032.0</v>
      </c>
      <c r="B494" s="70" t="s">
        <v>70</v>
      </c>
      <c r="C494" s="70" t="s">
        <v>163</v>
      </c>
      <c r="D494" s="70" t="s">
        <v>203</v>
      </c>
      <c r="E494" s="84">
        <f t="array" ref="E494">XLOOKUP($D494,concepto_salarios,monto_salarios,0)</f>
        <v>250</v>
      </c>
      <c r="F494" s="72">
        <v>0.0</v>
      </c>
      <c r="G494" s="74">
        <v>0.0</v>
      </c>
      <c r="H494" s="84">
        <f t="shared" si="1"/>
        <v>250</v>
      </c>
      <c r="I494" s="76" t="str">
        <f t="shared" si="2"/>
        <v>enero</v>
      </c>
      <c r="J494" s="76">
        <f t="shared" si="3"/>
        <v>2026</v>
      </c>
    </row>
    <row r="495" ht="22.5" customHeight="1">
      <c r="A495" s="69">
        <v>46033.0</v>
      </c>
      <c r="B495" s="70" t="s">
        <v>46</v>
      </c>
      <c r="C495" s="70" t="s">
        <v>143</v>
      </c>
      <c r="D495" s="70" t="s">
        <v>236</v>
      </c>
      <c r="E495" s="84">
        <f t="array" ref="E495">XLOOKUP($D495,concepto_salarios,monto_salarios,0)</f>
        <v>120</v>
      </c>
      <c r="F495" s="72">
        <v>0.0</v>
      </c>
      <c r="G495" s="74">
        <v>0.0</v>
      </c>
      <c r="H495" s="84">
        <f t="shared" si="1"/>
        <v>120</v>
      </c>
      <c r="I495" s="76" t="str">
        <f t="shared" si="2"/>
        <v>enero</v>
      </c>
      <c r="J495" s="76">
        <f t="shared" si="3"/>
        <v>2026</v>
      </c>
    </row>
    <row r="496" ht="22.5" customHeight="1">
      <c r="A496" s="69">
        <v>46033.0</v>
      </c>
      <c r="B496" s="70" t="s">
        <v>70</v>
      </c>
      <c r="C496" s="70" t="s">
        <v>143</v>
      </c>
      <c r="D496" s="70" t="s">
        <v>236</v>
      </c>
      <c r="E496" s="84">
        <f t="array" ref="E496">XLOOKUP($D496,concepto_salarios,monto_salarios,0)</f>
        <v>120</v>
      </c>
      <c r="F496" s="72">
        <v>0.0</v>
      </c>
      <c r="G496" s="74">
        <v>0.0</v>
      </c>
      <c r="H496" s="84">
        <f t="shared" si="1"/>
        <v>120</v>
      </c>
      <c r="I496" s="76" t="str">
        <f t="shared" si="2"/>
        <v>enero</v>
      </c>
      <c r="J496" s="76">
        <f t="shared" si="3"/>
        <v>2026</v>
      </c>
    </row>
    <row r="497" ht="22.5" customHeight="1">
      <c r="A497" s="69">
        <v>46035.0</v>
      </c>
      <c r="B497" s="70" t="s">
        <v>46</v>
      </c>
      <c r="C497" s="70" t="s">
        <v>143</v>
      </c>
      <c r="D497" s="70" t="s">
        <v>194</v>
      </c>
      <c r="E497" s="84">
        <f t="array" ref="E497">XLOOKUP($D497,concepto_salarios,monto_salarios,0)</f>
        <v>90</v>
      </c>
      <c r="F497" s="72">
        <v>0.0</v>
      </c>
      <c r="G497" s="74">
        <v>0.0</v>
      </c>
      <c r="H497" s="84">
        <f t="shared" si="1"/>
        <v>90</v>
      </c>
      <c r="I497" s="76" t="str">
        <f t="shared" si="2"/>
        <v>enero</v>
      </c>
      <c r="J497" s="76">
        <f t="shared" si="3"/>
        <v>2026</v>
      </c>
    </row>
    <row r="498" ht="22.5" customHeight="1">
      <c r="A498" s="69">
        <v>46035.0</v>
      </c>
      <c r="B498" s="70" t="s">
        <v>56</v>
      </c>
      <c r="C498" s="70" t="s">
        <v>143</v>
      </c>
      <c r="D498" s="70" t="s">
        <v>194</v>
      </c>
      <c r="E498" s="84">
        <f t="array" ref="E498">XLOOKUP($D498,concepto_salarios,monto_salarios,0)</f>
        <v>90</v>
      </c>
      <c r="F498" s="72">
        <v>0.0</v>
      </c>
      <c r="G498" s="74">
        <v>0.0</v>
      </c>
      <c r="H498" s="84">
        <f t="shared" si="1"/>
        <v>90</v>
      </c>
      <c r="I498" s="76" t="str">
        <f t="shared" si="2"/>
        <v>enero</v>
      </c>
      <c r="J498" s="76">
        <f t="shared" si="3"/>
        <v>2026</v>
      </c>
    </row>
    <row r="499" ht="22.5" customHeight="1">
      <c r="A499" s="69">
        <v>46039.0</v>
      </c>
      <c r="B499" s="70" t="s">
        <v>46</v>
      </c>
      <c r="C499" s="70" t="s">
        <v>142</v>
      </c>
      <c r="D499" s="70" t="s">
        <v>246</v>
      </c>
      <c r="E499" s="84">
        <f t="array" ref="E499">XLOOKUP($D499,concepto_salarios,monto_salarios,0)</f>
        <v>600</v>
      </c>
      <c r="F499" s="72">
        <v>0.0</v>
      </c>
      <c r="G499" s="74">
        <v>0.0</v>
      </c>
      <c r="H499" s="84">
        <f t="shared" si="1"/>
        <v>600</v>
      </c>
      <c r="I499" s="76" t="str">
        <f t="shared" si="2"/>
        <v>enero</v>
      </c>
      <c r="J499" s="76">
        <f t="shared" si="3"/>
        <v>2026</v>
      </c>
    </row>
    <row r="500" ht="22.5" customHeight="1">
      <c r="A500" s="69">
        <v>46039.0</v>
      </c>
      <c r="B500" s="70" t="s">
        <v>51</v>
      </c>
      <c r="C500" s="70" t="s">
        <v>142</v>
      </c>
      <c r="D500" s="70" t="s">
        <v>204</v>
      </c>
      <c r="E500" s="84">
        <f t="array" ref="E500">XLOOKUP($D500,concepto_salarios,monto_salarios,0)</f>
        <v>684</v>
      </c>
      <c r="F500" s="72">
        <v>0.0</v>
      </c>
      <c r="G500" s="74">
        <v>0.0</v>
      </c>
      <c r="H500" s="84">
        <f t="shared" si="1"/>
        <v>684</v>
      </c>
      <c r="I500" s="76" t="str">
        <f t="shared" si="2"/>
        <v>enero</v>
      </c>
      <c r="J500" s="76">
        <f t="shared" si="3"/>
        <v>2026</v>
      </c>
    </row>
    <row r="501" ht="22.5" customHeight="1">
      <c r="A501" s="69">
        <v>46039.0</v>
      </c>
      <c r="B501" s="70" t="s">
        <v>61</v>
      </c>
      <c r="C501" s="70" t="s">
        <v>143</v>
      </c>
      <c r="D501" s="70" t="s">
        <v>189</v>
      </c>
      <c r="E501" s="84">
        <f t="array" ref="E501">XLOOKUP($D501,concepto_salarios,monto_salarios,0)</f>
        <v>100</v>
      </c>
      <c r="F501" s="72">
        <v>0.0</v>
      </c>
      <c r="G501" s="74">
        <v>0.0</v>
      </c>
      <c r="H501" s="84">
        <f t="shared" si="1"/>
        <v>100</v>
      </c>
      <c r="I501" s="76" t="str">
        <f t="shared" si="2"/>
        <v>enero</v>
      </c>
      <c r="J501" s="76">
        <f t="shared" si="3"/>
        <v>2026</v>
      </c>
    </row>
    <row r="502" ht="22.5" customHeight="1">
      <c r="A502" s="69">
        <v>46039.0</v>
      </c>
      <c r="B502" s="70" t="s">
        <v>61</v>
      </c>
      <c r="C502" s="70" t="s">
        <v>143</v>
      </c>
      <c r="D502" s="70" t="s">
        <v>170</v>
      </c>
      <c r="E502" s="84">
        <f t="array" ref="E502">XLOOKUP($D502,concepto_salarios,monto_salarios,0)</f>
        <v>150</v>
      </c>
      <c r="F502" s="72">
        <v>0.0</v>
      </c>
      <c r="G502" s="74">
        <v>0.0</v>
      </c>
      <c r="H502" s="84">
        <f t="shared" si="1"/>
        <v>150</v>
      </c>
      <c r="I502" s="76" t="str">
        <f t="shared" si="2"/>
        <v>enero</v>
      </c>
      <c r="J502" s="76">
        <f t="shared" si="3"/>
        <v>2026</v>
      </c>
    </row>
    <row r="503" ht="22.5" customHeight="1">
      <c r="A503" s="69">
        <v>46039.0</v>
      </c>
      <c r="B503" s="70" t="s">
        <v>61</v>
      </c>
      <c r="C503" s="70" t="s">
        <v>143</v>
      </c>
      <c r="D503" s="70" t="s">
        <v>167</v>
      </c>
      <c r="E503" s="84">
        <f t="array" ref="E503">XLOOKUP($D503,concepto_salarios,monto_salarios,0)</f>
        <v>100</v>
      </c>
      <c r="F503" s="72">
        <v>0.0</v>
      </c>
      <c r="G503" s="74">
        <v>0.0</v>
      </c>
      <c r="H503" s="84">
        <f t="shared" si="1"/>
        <v>100</v>
      </c>
      <c r="I503" s="76" t="str">
        <f t="shared" si="2"/>
        <v>enero</v>
      </c>
      <c r="J503" s="76">
        <f t="shared" si="3"/>
        <v>2026</v>
      </c>
    </row>
    <row r="504" ht="22.5" customHeight="1">
      <c r="A504" s="69">
        <v>46039.0</v>
      </c>
      <c r="B504" s="70" t="s">
        <v>61</v>
      </c>
      <c r="C504" s="70" t="s">
        <v>143</v>
      </c>
      <c r="D504" s="70" t="s">
        <v>197</v>
      </c>
      <c r="E504" s="84">
        <f t="array" ref="E504">XLOOKUP($D504,concepto_salarios,monto_salarios,0)</f>
        <v>100</v>
      </c>
      <c r="F504" s="72">
        <v>0.0</v>
      </c>
      <c r="G504" s="74">
        <v>0.0</v>
      </c>
      <c r="H504" s="84">
        <f t="shared" si="1"/>
        <v>100</v>
      </c>
      <c r="I504" s="76" t="str">
        <f t="shared" si="2"/>
        <v>enero</v>
      </c>
      <c r="J504" s="76">
        <f t="shared" si="3"/>
        <v>2026</v>
      </c>
    </row>
    <row r="505" ht="22.5" customHeight="1">
      <c r="A505" s="69">
        <v>46039.0</v>
      </c>
      <c r="B505" s="70" t="s">
        <v>61</v>
      </c>
      <c r="C505" s="70" t="s">
        <v>143</v>
      </c>
      <c r="D505" s="70" t="s">
        <v>165</v>
      </c>
      <c r="E505" s="84">
        <f t="array" ref="E505">XLOOKUP($D505,concepto_salarios,monto_salarios,0)</f>
        <v>90</v>
      </c>
      <c r="F505" s="72">
        <v>0.0</v>
      </c>
      <c r="G505" s="74">
        <v>0.0</v>
      </c>
      <c r="H505" s="84">
        <f t="shared" si="1"/>
        <v>90</v>
      </c>
      <c r="I505" s="76" t="str">
        <f t="shared" si="2"/>
        <v>enero</v>
      </c>
      <c r="J505" s="76">
        <f t="shared" si="3"/>
        <v>2026</v>
      </c>
    </row>
    <row r="506" ht="22.5" customHeight="1">
      <c r="A506" s="69">
        <v>46039.0</v>
      </c>
      <c r="B506" s="70" t="s">
        <v>61</v>
      </c>
      <c r="C506" s="70" t="s">
        <v>143</v>
      </c>
      <c r="D506" s="70" t="s">
        <v>188</v>
      </c>
      <c r="E506" s="84">
        <f t="array" ref="E506">XLOOKUP($D506,concepto_salarios,monto_salarios,0)</f>
        <v>90</v>
      </c>
      <c r="F506" s="72">
        <v>0.0</v>
      </c>
      <c r="G506" s="74">
        <v>0.0</v>
      </c>
      <c r="H506" s="84">
        <f t="shared" si="1"/>
        <v>90</v>
      </c>
      <c r="I506" s="76" t="str">
        <f t="shared" si="2"/>
        <v>enero</v>
      </c>
      <c r="J506" s="76">
        <f t="shared" si="3"/>
        <v>2026</v>
      </c>
    </row>
    <row r="507" ht="22.5" customHeight="1">
      <c r="A507" s="69">
        <v>46039.0</v>
      </c>
      <c r="B507" s="70" t="s">
        <v>61</v>
      </c>
      <c r="C507" s="70" t="s">
        <v>140</v>
      </c>
      <c r="D507" s="70" t="s">
        <v>141</v>
      </c>
      <c r="E507" s="84">
        <f t="array" ref="E507">XLOOKUP($D507,concepto_salarios,monto_salarios,0)</f>
        <v>250</v>
      </c>
      <c r="F507" s="72">
        <v>0.0</v>
      </c>
      <c r="G507" s="74">
        <v>0.0</v>
      </c>
      <c r="H507" s="84">
        <f t="shared" si="1"/>
        <v>250</v>
      </c>
      <c r="I507" s="76" t="str">
        <f t="shared" si="2"/>
        <v>enero</v>
      </c>
      <c r="J507" s="76">
        <f t="shared" si="3"/>
        <v>2026</v>
      </c>
    </row>
    <row r="508" ht="22.5" customHeight="1">
      <c r="A508" s="69">
        <v>46039.0</v>
      </c>
      <c r="B508" s="70" t="s">
        <v>73</v>
      </c>
      <c r="C508" s="70" t="s">
        <v>163</v>
      </c>
      <c r="D508" s="70" t="s">
        <v>164</v>
      </c>
      <c r="E508" s="84">
        <f t="array" ref="E508">XLOOKUP($D508,concepto_salarios,monto_salarios,0)</f>
        <v>100</v>
      </c>
      <c r="F508" s="72">
        <v>0.0</v>
      </c>
      <c r="G508" s="74">
        <v>0.0</v>
      </c>
      <c r="H508" s="84">
        <f t="shared" si="1"/>
        <v>100</v>
      </c>
      <c r="I508" s="76" t="str">
        <f t="shared" si="2"/>
        <v>enero</v>
      </c>
      <c r="J508" s="76">
        <f t="shared" si="3"/>
        <v>2026</v>
      </c>
    </row>
    <row r="509" ht="22.5" customHeight="1">
      <c r="A509" s="69">
        <v>46039.0</v>
      </c>
      <c r="B509" s="70" t="s">
        <v>73</v>
      </c>
      <c r="C509" s="70" t="s">
        <v>143</v>
      </c>
      <c r="D509" s="70" t="s">
        <v>189</v>
      </c>
      <c r="E509" s="84">
        <f t="array" ref="E509">XLOOKUP($D509,concepto_salarios,monto_salarios,0)</f>
        <v>100</v>
      </c>
      <c r="F509" s="72">
        <v>0.0</v>
      </c>
      <c r="G509" s="74">
        <v>0.0</v>
      </c>
      <c r="H509" s="84">
        <f t="shared" si="1"/>
        <v>100</v>
      </c>
      <c r="I509" s="76" t="str">
        <f t="shared" si="2"/>
        <v>enero</v>
      </c>
      <c r="J509" s="76">
        <f t="shared" si="3"/>
        <v>2026</v>
      </c>
    </row>
    <row r="510" ht="22.5" customHeight="1">
      <c r="A510" s="69">
        <v>46039.0</v>
      </c>
      <c r="B510" s="70" t="s">
        <v>73</v>
      </c>
      <c r="C510" s="70" t="s">
        <v>143</v>
      </c>
      <c r="D510" s="70" t="s">
        <v>170</v>
      </c>
      <c r="E510" s="84">
        <f t="array" ref="E510">XLOOKUP($D510,concepto_salarios,monto_salarios,0)</f>
        <v>150</v>
      </c>
      <c r="F510" s="72">
        <v>0.0</v>
      </c>
      <c r="G510" s="74">
        <v>0.0</v>
      </c>
      <c r="H510" s="84">
        <f t="shared" si="1"/>
        <v>150</v>
      </c>
      <c r="I510" s="76" t="str">
        <f t="shared" si="2"/>
        <v>enero</v>
      </c>
      <c r="J510" s="76">
        <f t="shared" si="3"/>
        <v>2026</v>
      </c>
    </row>
    <row r="511" ht="22.5" customHeight="1">
      <c r="A511" s="69">
        <v>46039.0</v>
      </c>
      <c r="B511" s="70" t="s">
        <v>73</v>
      </c>
      <c r="C511" s="70" t="s">
        <v>143</v>
      </c>
      <c r="D511" s="70" t="s">
        <v>167</v>
      </c>
      <c r="E511" s="84">
        <f t="array" ref="E511">XLOOKUP($D511,concepto_salarios,monto_salarios,0)</f>
        <v>100</v>
      </c>
      <c r="F511" s="72">
        <v>0.0</v>
      </c>
      <c r="G511" s="74">
        <v>0.0</v>
      </c>
      <c r="H511" s="84">
        <f t="shared" si="1"/>
        <v>100</v>
      </c>
      <c r="I511" s="76" t="str">
        <f t="shared" si="2"/>
        <v>enero</v>
      </c>
      <c r="J511" s="76">
        <f t="shared" si="3"/>
        <v>2026</v>
      </c>
    </row>
    <row r="512" ht="22.5" customHeight="1">
      <c r="A512" s="69">
        <v>46039.0</v>
      </c>
      <c r="B512" s="70" t="s">
        <v>73</v>
      </c>
      <c r="C512" s="70" t="s">
        <v>143</v>
      </c>
      <c r="D512" s="70" t="s">
        <v>197</v>
      </c>
      <c r="E512" s="84">
        <f t="array" ref="E512">XLOOKUP($D512,concepto_salarios,monto_salarios,0)</f>
        <v>100</v>
      </c>
      <c r="F512" s="72">
        <v>0.0</v>
      </c>
      <c r="G512" s="74">
        <v>0.0</v>
      </c>
      <c r="H512" s="84">
        <f t="shared" si="1"/>
        <v>100</v>
      </c>
      <c r="I512" s="76" t="str">
        <f t="shared" si="2"/>
        <v>enero</v>
      </c>
      <c r="J512" s="76">
        <f t="shared" si="3"/>
        <v>2026</v>
      </c>
    </row>
    <row r="513" ht="22.5" customHeight="1">
      <c r="A513" s="69">
        <v>46039.0</v>
      </c>
      <c r="B513" s="70" t="s">
        <v>73</v>
      </c>
      <c r="C513" s="70" t="s">
        <v>143</v>
      </c>
      <c r="D513" s="70" t="s">
        <v>165</v>
      </c>
      <c r="E513" s="84">
        <f t="array" ref="E513">XLOOKUP($D513,concepto_salarios,monto_salarios,0)</f>
        <v>90</v>
      </c>
      <c r="F513" s="72">
        <v>0.0</v>
      </c>
      <c r="G513" s="74">
        <v>0.0</v>
      </c>
      <c r="H513" s="84">
        <f t="shared" si="1"/>
        <v>90</v>
      </c>
      <c r="I513" s="76" t="str">
        <f t="shared" si="2"/>
        <v>enero</v>
      </c>
      <c r="J513" s="76">
        <f t="shared" si="3"/>
        <v>2026</v>
      </c>
    </row>
    <row r="514" ht="22.5" customHeight="1">
      <c r="A514" s="69">
        <v>46039.0</v>
      </c>
      <c r="B514" s="70" t="s">
        <v>73</v>
      </c>
      <c r="C514" s="70" t="s">
        <v>143</v>
      </c>
      <c r="D514" s="70" t="s">
        <v>188</v>
      </c>
      <c r="E514" s="84">
        <f t="array" ref="E514">XLOOKUP($D514,concepto_salarios,monto_salarios,0)</f>
        <v>90</v>
      </c>
      <c r="F514" s="72">
        <v>0.0</v>
      </c>
      <c r="G514" s="74">
        <v>0.0</v>
      </c>
      <c r="H514" s="84">
        <f t="shared" si="1"/>
        <v>90</v>
      </c>
      <c r="I514" s="76" t="str">
        <f t="shared" si="2"/>
        <v>enero</v>
      </c>
      <c r="J514" s="76">
        <f t="shared" si="3"/>
        <v>2026</v>
      </c>
    </row>
    <row r="515" ht="22.5" customHeight="1">
      <c r="A515" s="69">
        <v>46039.0</v>
      </c>
      <c r="B515" s="70" t="s">
        <v>73</v>
      </c>
      <c r="C515" s="70" t="s">
        <v>140</v>
      </c>
      <c r="D515" s="70" t="s">
        <v>199</v>
      </c>
      <c r="E515" s="84">
        <f t="array" ref="E515">XLOOKUP($D515,concepto_salarios,monto_salarios,0)</f>
        <v>100</v>
      </c>
      <c r="F515" s="72">
        <v>0.0</v>
      </c>
      <c r="G515" s="74">
        <v>0.0</v>
      </c>
      <c r="H515" s="84">
        <f t="shared" si="1"/>
        <v>100</v>
      </c>
      <c r="I515" s="76" t="str">
        <f t="shared" si="2"/>
        <v>enero</v>
      </c>
      <c r="J515" s="76">
        <f t="shared" si="3"/>
        <v>2026</v>
      </c>
    </row>
    <row r="516" ht="22.5" customHeight="1">
      <c r="A516" s="69">
        <v>46039.0</v>
      </c>
      <c r="B516" s="70" t="s">
        <v>66</v>
      </c>
      <c r="C516" s="70" t="s">
        <v>142</v>
      </c>
      <c r="D516" s="70" t="s">
        <v>207</v>
      </c>
      <c r="E516" s="84">
        <f t="array" ref="E516">XLOOKUP($D516,concepto_salarios,monto_salarios,0)</f>
        <v>606</v>
      </c>
      <c r="F516" s="72">
        <v>0.0</v>
      </c>
      <c r="G516" s="74">
        <v>0.0</v>
      </c>
      <c r="H516" s="84">
        <f t="shared" si="1"/>
        <v>606</v>
      </c>
      <c r="I516" s="76" t="str">
        <f t="shared" si="2"/>
        <v>enero</v>
      </c>
      <c r="J516" s="76">
        <f t="shared" si="3"/>
        <v>2026</v>
      </c>
    </row>
    <row r="517" ht="22.5" customHeight="1">
      <c r="A517" s="69">
        <v>46039.0</v>
      </c>
      <c r="B517" s="70" t="s">
        <v>56</v>
      </c>
      <c r="C517" s="70" t="s">
        <v>142</v>
      </c>
      <c r="D517" s="70" t="s">
        <v>246</v>
      </c>
      <c r="E517" s="84">
        <f t="array" ref="E517">XLOOKUP($D517,concepto_salarios,monto_salarios,0)</f>
        <v>600</v>
      </c>
      <c r="F517" s="72">
        <v>0.0</v>
      </c>
      <c r="G517" s="74">
        <v>0.0</v>
      </c>
      <c r="H517" s="84">
        <f t="shared" si="1"/>
        <v>600</v>
      </c>
      <c r="I517" s="76" t="str">
        <f t="shared" si="2"/>
        <v>enero</v>
      </c>
      <c r="J517" s="76">
        <f t="shared" si="3"/>
        <v>2026</v>
      </c>
    </row>
    <row r="518" ht="22.5" customHeight="1">
      <c r="A518" s="69">
        <v>46040.0</v>
      </c>
      <c r="B518" s="70" t="s">
        <v>61</v>
      </c>
      <c r="C518" s="70" t="s">
        <v>143</v>
      </c>
      <c r="D518" s="70" t="s">
        <v>179</v>
      </c>
      <c r="E518" s="84">
        <f t="array" ref="E518">XLOOKUP($D518,concepto_salarios,monto_salarios,0)</f>
        <v>50</v>
      </c>
      <c r="F518" s="72">
        <v>0.0</v>
      </c>
      <c r="G518" s="74">
        <v>0.0</v>
      </c>
      <c r="H518" s="84">
        <f t="shared" si="1"/>
        <v>50</v>
      </c>
      <c r="I518" s="76" t="str">
        <f t="shared" si="2"/>
        <v>enero</v>
      </c>
      <c r="J518" s="76">
        <f t="shared" si="3"/>
        <v>2026</v>
      </c>
    </row>
    <row r="519" ht="22.5" customHeight="1">
      <c r="A519" s="69">
        <v>46040.0</v>
      </c>
      <c r="B519" s="70" t="s">
        <v>61</v>
      </c>
      <c r="C519" s="70" t="s">
        <v>143</v>
      </c>
      <c r="D519" s="70" t="s">
        <v>211</v>
      </c>
      <c r="E519" s="84">
        <f t="array" ref="E519">XLOOKUP($D519,concepto_salarios,monto_salarios,0)</f>
        <v>45</v>
      </c>
      <c r="F519" s="72">
        <v>0.0</v>
      </c>
      <c r="G519" s="74">
        <v>0.0</v>
      </c>
      <c r="H519" s="84">
        <f t="shared" si="1"/>
        <v>45</v>
      </c>
      <c r="I519" s="76" t="str">
        <f t="shared" si="2"/>
        <v>enero</v>
      </c>
      <c r="J519" s="76">
        <f t="shared" si="3"/>
        <v>2026</v>
      </c>
    </row>
    <row r="520" ht="22.5" customHeight="1">
      <c r="A520" s="69">
        <v>46040.0</v>
      </c>
      <c r="B520" s="70" t="s">
        <v>61</v>
      </c>
      <c r="C520" s="70" t="s">
        <v>143</v>
      </c>
      <c r="D520" s="70" t="s">
        <v>182</v>
      </c>
      <c r="E520" s="84">
        <f t="array" ref="E520">XLOOKUP($D520,concepto_salarios,monto_salarios,0)</f>
        <v>45</v>
      </c>
      <c r="F520" s="72">
        <v>0.0</v>
      </c>
      <c r="G520" s="74">
        <v>0.0</v>
      </c>
      <c r="H520" s="84">
        <f t="shared" si="1"/>
        <v>45</v>
      </c>
      <c r="I520" s="76" t="str">
        <f t="shared" si="2"/>
        <v>enero</v>
      </c>
      <c r="J520" s="76">
        <f t="shared" si="3"/>
        <v>2026</v>
      </c>
    </row>
    <row r="521" ht="22.5" customHeight="1">
      <c r="A521" s="69">
        <v>46040.0</v>
      </c>
      <c r="B521" s="70" t="s">
        <v>61</v>
      </c>
      <c r="C521" s="70" t="s">
        <v>143</v>
      </c>
      <c r="D521" s="70" t="s">
        <v>183</v>
      </c>
      <c r="E521" s="84">
        <f t="array" ref="E521">XLOOKUP($D521,concepto_salarios,monto_salarios,0)</f>
        <v>50</v>
      </c>
      <c r="F521" s="72">
        <v>0.0</v>
      </c>
      <c r="G521" s="74">
        <v>0.0</v>
      </c>
      <c r="H521" s="84">
        <f t="shared" si="1"/>
        <v>50</v>
      </c>
      <c r="I521" s="76" t="str">
        <f t="shared" si="2"/>
        <v>enero</v>
      </c>
      <c r="J521" s="76">
        <f t="shared" si="3"/>
        <v>2026</v>
      </c>
    </row>
    <row r="522" ht="22.5" customHeight="1">
      <c r="A522" s="69">
        <v>46040.0</v>
      </c>
      <c r="B522" s="70" t="s">
        <v>61</v>
      </c>
      <c r="C522" s="70" t="s">
        <v>140</v>
      </c>
      <c r="D522" s="70" t="s">
        <v>201</v>
      </c>
      <c r="E522" s="84">
        <f t="array" ref="E522">XLOOKUP($D522,concepto_salarios,monto_salarios,0)</f>
        <v>100</v>
      </c>
      <c r="F522" s="72">
        <v>100.0</v>
      </c>
      <c r="G522" s="74">
        <v>0.0</v>
      </c>
      <c r="H522" s="84">
        <f t="shared" si="1"/>
        <v>0</v>
      </c>
      <c r="I522" s="76" t="str">
        <f t="shared" si="2"/>
        <v>enero</v>
      </c>
      <c r="J522" s="76">
        <f t="shared" si="3"/>
        <v>2026</v>
      </c>
    </row>
    <row r="523" ht="22.5" customHeight="1">
      <c r="A523" s="69">
        <v>46040.0</v>
      </c>
      <c r="B523" s="70" t="s">
        <v>73</v>
      </c>
      <c r="C523" s="70" t="s">
        <v>163</v>
      </c>
      <c r="D523" s="70" t="s">
        <v>247</v>
      </c>
      <c r="E523" s="84">
        <f t="array" ref="E523">XLOOKUP($D523,concepto_salarios,monto_salarios,0)</f>
        <v>80</v>
      </c>
      <c r="F523" s="72">
        <v>0.0</v>
      </c>
      <c r="G523" s="74">
        <v>0.0</v>
      </c>
      <c r="H523" s="84">
        <f t="shared" si="1"/>
        <v>80</v>
      </c>
      <c r="I523" s="76" t="str">
        <f t="shared" si="2"/>
        <v>enero</v>
      </c>
      <c r="J523" s="76">
        <f t="shared" si="3"/>
        <v>2026</v>
      </c>
    </row>
    <row r="524" ht="22.5" customHeight="1">
      <c r="A524" s="69">
        <v>46040.0</v>
      </c>
      <c r="B524" s="70" t="s">
        <v>73</v>
      </c>
      <c r="C524" s="70" t="s">
        <v>143</v>
      </c>
      <c r="D524" s="70" t="s">
        <v>179</v>
      </c>
      <c r="E524" s="84">
        <f t="array" ref="E524">XLOOKUP($D524,concepto_salarios,monto_salarios,0)</f>
        <v>50</v>
      </c>
      <c r="F524" s="72">
        <v>0.0</v>
      </c>
      <c r="G524" s="74">
        <v>0.0</v>
      </c>
      <c r="H524" s="84">
        <f t="shared" si="1"/>
        <v>50</v>
      </c>
      <c r="I524" s="76" t="str">
        <f t="shared" si="2"/>
        <v>enero</v>
      </c>
      <c r="J524" s="76">
        <f t="shared" si="3"/>
        <v>2026</v>
      </c>
    </row>
    <row r="525" ht="22.5" customHeight="1">
      <c r="A525" s="69">
        <v>46040.0</v>
      </c>
      <c r="B525" s="70" t="s">
        <v>73</v>
      </c>
      <c r="C525" s="70" t="s">
        <v>143</v>
      </c>
      <c r="D525" s="70" t="s">
        <v>211</v>
      </c>
      <c r="E525" s="84">
        <f t="array" ref="E525">XLOOKUP($D525,concepto_salarios,monto_salarios,0)</f>
        <v>45</v>
      </c>
      <c r="F525" s="72">
        <v>0.0</v>
      </c>
      <c r="G525" s="74">
        <v>0.0</v>
      </c>
      <c r="H525" s="84">
        <f t="shared" si="1"/>
        <v>45</v>
      </c>
      <c r="I525" s="76" t="str">
        <f t="shared" si="2"/>
        <v>enero</v>
      </c>
      <c r="J525" s="76">
        <f t="shared" si="3"/>
        <v>2026</v>
      </c>
    </row>
    <row r="526" ht="22.5" customHeight="1">
      <c r="A526" s="69">
        <v>46040.0</v>
      </c>
      <c r="B526" s="70" t="s">
        <v>73</v>
      </c>
      <c r="C526" s="70" t="s">
        <v>143</v>
      </c>
      <c r="D526" s="70" t="s">
        <v>182</v>
      </c>
      <c r="E526" s="84">
        <f t="array" ref="E526">XLOOKUP($D526,concepto_salarios,monto_salarios,0)</f>
        <v>45</v>
      </c>
      <c r="F526" s="72">
        <v>0.0</v>
      </c>
      <c r="G526" s="74">
        <v>0.0</v>
      </c>
      <c r="H526" s="84">
        <f t="shared" si="1"/>
        <v>45</v>
      </c>
      <c r="I526" s="76" t="str">
        <f t="shared" si="2"/>
        <v>enero</v>
      </c>
      <c r="J526" s="76">
        <f t="shared" si="3"/>
        <v>2026</v>
      </c>
    </row>
    <row r="527" ht="22.5" customHeight="1">
      <c r="A527" s="69">
        <v>46040.0</v>
      </c>
      <c r="B527" s="70" t="s">
        <v>73</v>
      </c>
      <c r="C527" s="70" t="s">
        <v>143</v>
      </c>
      <c r="D527" s="70" t="s">
        <v>183</v>
      </c>
      <c r="E527" s="84">
        <f t="array" ref="E527">XLOOKUP($D527,concepto_salarios,monto_salarios,0)</f>
        <v>50</v>
      </c>
      <c r="F527" s="72">
        <v>0.0</v>
      </c>
      <c r="G527" s="74">
        <v>0.0</v>
      </c>
      <c r="H527" s="84">
        <f t="shared" si="1"/>
        <v>50</v>
      </c>
      <c r="I527" s="76" t="str">
        <f t="shared" si="2"/>
        <v>enero</v>
      </c>
      <c r="J527" s="76">
        <f t="shared" si="3"/>
        <v>2026</v>
      </c>
    </row>
    <row r="528" ht="22.5" customHeight="1">
      <c r="A528" s="69">
        <v>46040.0</v>
      </c>
      <c r="B528" s="70" t="s">
        <v>73</v>
      </c>
      <c r="C528" s="70" t="s">
        <v>140</v>
      </c>
      <c r="D528" s="70" t="s">
        <v>201</v>
      </c>
      <c r="E528" s="84">
        <f t="array" ref="E528">XLOOKUP($D528,concepto_salarios,monto_salarios,0)</f>
        <v>100</v>
      </c>
      <c r="F528" s="72">
        <v>0.0</v>
      </c>
      <c r="G528" s="74">
        <v>0.0</v>
      </c>
      <c r="H528" s="84">
        <f t="shared" si="1"/>
        <v>100</v>
      </c>
      <c r="I528" s="76" t="str">
        <f t="shared" si="2"/>
        <v>enero</v>
      </c>
      <c r="J528" s="76">
        <f t="shared" si="3"/>
        <v>2026</v>
      </c>
    </row>
    <row r="529" ht="22.5" customHeight="1">
      <c r="A529" s="69">
        <v>46040.0</v>
      </c>
      <c r="B529" s="70" t="s">
        <v>73</v>
      </c>
      <c r="C529" s="70" t="s">
        <v>143</v>
      </c>
      <c r="D529" s="70" t="s">
        <v>194</v>
      </c>
      <c r="E529" s="84">
        <f t="array" ref="E529">XLOOKUP($D529,concepto_salarios,monto_salarios,0)</f>
        <v>90</v>
      </c>
      <c r="F529" s="72">
        <v>0.0</v>
      </c>
      <c r="G529" s="74">
        <v>0.0</v>
      </c>
      <c r="H529" s="84">
        <f t="shared" si="1"/>
        <v>90</v>
      </c>
      <c r="I529" s="76" t="str">
        <f t="shared" si="2"/>
        <v>enero</v>
      </c>
      <c r="J529" s="76">
        <f t="shared" si="3"/>
        <v>2026</v>
      </c>
    </row>
    <row r="530" ht="22.5" customHeight="1">
      <c r="A530" s="69">
        <v>46040.0</v>
      </c>
      <c r="B530" s="70" t="s">
        <v>73</v>
      </c>
      <c r="C530" s="70" t="s">
        <v>143</v>
      </c>
      <c r="D530" s="70" t="s">
        <v>216</v>
      </c>
      <c r="E530" s="84">
        <f t="array" ref="E530">XLOOKUP($D530,concepto_salarios,monto_salarios,0)</f>
        <v>100</v>
      </c>
      <c r="F530" s="72">
        <v>0.0</v>
      </c>
      <c r="G530" s="74">
        <v>0.0</v>
      </c>
      <c r="H530" s="84">
        <f t="shared" si="1"/>
        <v>100</v>
      </c>
      <c r="I530" s="76" t="str">
        <f t="shared" si="2"/>
        <v>enero</v>
      </c>
      <c r="J530" s="76">
        <f t="shared" si="3"/>
        <v>2026</v>
      </c>
    </row>
    <row r="531" ht="22.5" customHeight="1">
      <c r="A531" s="69">
        <v>46040.0</v>
      </c>
      <c r="B531" s="70" t="s">
        <v>73</v>
      </c>
      <c r="C531" s="70" t="s">
        <v>143</v>
      </c>
      <c r="D531" s="70" t="s">
        <v>172</v>
      </c>
      <c r="E531" s="84">
        <f t="array" ref="E531">XLOOKUP($D531,concepto_salarios,monto_salarios,0)</f>
        <v>90</v>
      </c>
      <c r="F531" s="72">
        <v>0.0</v>
      </c>
      <c r="G531" s="74">
        <v>0.0</v>
      </c>
      <c r="H531" s="84">
        <f t="shared" si="1"/>
        <v>90</v>
      </c>
      <c r="I531" s="76" t="str">
        <f t="shared" si="2"/>
        <v>enero</v>
      </c>
      <c r="J531" s="76">
        <f t="shared" si="3"/>
        <v>2026</v>
      </c>
    </row>
    <row r="532" ht="22.5" customHeight="1">
      <c r="A532" s="69">
        <v>46040.0</v>
      </c>
      <c r="B532" s="70" t="s">
        <v>73</v>
      </c>
      <c r="C532" s="70" t="s">
        <v>143</v>
      </c>
      <c r="D532" s="70" t="s">
        <v>171</v>
      </c>
      <c r="E532" s="84">
        <f t="array" ref="E532">XLOOKUP($D532,concepto_salarios,monto_salarios,0)</f>
        <v>100</v>
      </c>
      <c r="F532" s="72">
        <v>0.0</v>
      </c>
      <c r="G532" s="74">
        <v>0.0</v>
      </c>
      <c r="H532" s="84">
        <f t="shared" si="1"/>
        <v>100</v>
      </c>
      <c r="I532" s="76" t="str">
        <f t="shared" si="2"/>
        <v>enero</v>
      </c>
      <c r="J532" s="76">
        <f t="shared" si="3"/>
        <v>2026</v>
      </c>
    </row>
    <row r="533" ht="22.5" customHeight="1">
      <c r="A533" s="69">
        <v>46043.0</v>
      </c>
      <c r="B533" s="70" t="s">
        <v>46</v>
      </c>
      <c r="C533" s="70" t="s">
        <v>143</v>
      </c>
      <c r="D533" s="70" t="s">
        <v>171</v>
      </c>
      <c r="E533" s="84">
        <f t="array" ref="E533">XLOOKUP($D533,concepto_salarios,monto_salarios,0)</f>
        <v>100</v>
      </c>
      <c r="F533" s="72">
        <v>0.0</v>
      </c>
      <c r="G533" s="74">
        <v>0.0</v>
      </c>
      <c r="H533" s="84">
        <f t="shared" si="1"/>
        <v>100</v>
      </c>
      <c r="I533" s="76" t="str">
        <f t="shared" si="2"/>
        <v>enero</v>
      </c>
      <c r="J533" s="76">
        <f t="shared" si="3"/>
        <v>2026</v>
      </c>
    </row>
    <row r="534" ht="22.5" customHeight="1">
      <c r="A534" s="69">
        <v>46043.0</v>
      </c>
      <c r="B534" s="70" t="s">
        <v>51</v>
      </c>
      <c r="C534" s="70" t="s">
        <v>143</v>
      </c>
      <c r="D534" s="70" t="s">
        <v>183</v>
      </c>
      <c r="E534" s="84">
        <f t="array" ref="E534">XLOOKUP($D534,concepto_salarios,monto_salarios,0)</f>
        <v>50</v>
      </c>
      <c r="F534" s="72">
        <v>0.0</v>
      </c>
      <c r="G534" s="74">
        <v>0.0</v>
      </c>
      <c r="H534" s="84">
        <f t="shared" si="1"/>
        <v>50</v>
      </c>
      <c r="I534" s="76" t="str">
        <f t="shared" si="2"/>
        <v>enero</v>
      </c>
      <c r="J534" s="76">
        <f t="shared" si="3"/>
        <v>2026</v>
      </c>
    </row>
    <row r="535" ht="22.5" customHeight="1">
      <c r="A535" s="69">
        <v>46043.0</v>
      </c>
      <c r="B535" s="70" t="s">
        <v>56</v>
      </c>
      <c r="C535" s="70" t="s">
        <v>143</v>
      </c>
      <c r="D535" s="70" t="s">
        <v>183</v>
      </c>
      <c r="E535" s="84">
        <f t="array" ref="E535">XLOOKUP($D535,concepto_salarios,monto_salarios,0)</f>
        <v>50</v>
      </c>
      <c r="F535" s="72">
        <v>0.0</v>
      </c>
      <c r="G535" s="74">
        <v>0.0</v>
      </c>
      <c r="H535" s="84">
        <f t="shared" si="1"/>
        <v>50</v>
      </c>
      <c r="I535" s="76" t="str">
        <f t="shared" si="2"/>
        <v>enero</v>
      </c>
      <c r="J535" s="76">
        <f t="shared" si="3"/>
        <v>2026</v>
      </c>
    </row>
    <row r="536" ht="22.5" customHeight="1">
      <c r="A536" s="69">
        <v>46046.0</v>
      </c>
      <c r="B536" s="70" t="s">
        <v>46</v>
      </c>
      <c r="C536" s="70" t="s">
        <v>140</v>
      </c>
      <c r="D536" s="70" t="s">
        <v>145</v>
      </c>
      <c r="E536" s="84">
        <f t="array" ref="E536">XLOOKUP($D536,concepto_salarios,monto_salarios,0)</f>
        <v>350</v>
      </c>
      <c r="F536" s="72">
        <v>0.0</v>
      </c>
      <c r="G536" s="74">
        <v>0.0</v>
      </c>
      <c r="H536" s="84">
        <f t="shared" si="1"/>
        <v>350</v>
      </c>
      <c r="I536" s="76" t="str">
        <f t="shared" si="2"/>
        <v>enero</v>
      </c>
      <c r="J536" s="76">
        <f t="shared" si="3"/>
        <v>2026</v>
      </c>
    </row>
    <row r="537" ht="22.5" customHeight="1">
      <c r="A537" s="69">
        <v>46046.0</v>
      </c>
      <c r="B537" s="70" t="s">
        <v>46</v>
      </c>
      <c r="C537" s="70" t="s">
        <v>140</v>
      </c>
      <c r="D537" s="70" t="s">
        <v>141</v>
      </c>
      <c r="E537" s="84">
        <f t="array" ref="E537">XLOOKUP($D537,concepto_salarios,monto_salarios,0)</f>
        <v>250</v>
      </c>
      <c r="F537" s="72">
        <v>0.0</v>
      </c>
      <c r="G537" s="74">
        <v>0.0</v>
      </c>
      <c r="H537" s="84">
        <f t="shared" si="1"/>
        <v>250</v>
      </c>
      <c r="I537" s="76" t="str">
        <f t="shared" si="2"/>
        <v>enero</v>
      </c>
      <c r="J537" s="76">
        <f t="shared" si="3"/>
        <v>2026</v>
      </c>
    </row>
    <row r="538" ht="22.5" customHeight="1">
      <c r="A538" s="69">
        <v>46046.0</v>
      </c>
      <c r="B538" s="70" t="s">
        <v>46</v>
      </c>
      <c r="C538" s="70" t="s">
        <v>143</v>
      </c>
      <c r="D538" s="70" t="s">
        <v>170</v>
      </c>
      <c r="E538" s="84">
        <f t="array" ref="E538">XLOOKUP($D538,concepto_salarios,monto_salarios,0)</f>
        <v>150</v>
      </c>
      <c r="F538" s="72">
        <v>0.0</v>
      </c>
      <c r="G538" s="74">
        <v>0.0</v>
      </c>
      <c r="H538" s="84">
        <f t="shared" si="1"/>
        <v>150</v>
      </c>
      <c r="I538" s="76" t="str">
        <f t="shared" si="2"/>
        <v>enero</v>
      </c>
      <c r="J538" s="76">
        <f t="shared" si="3"/>
        <v>2026</v>
      </c>
    </row>
    <row r="539" ht="22.5" customHeight="1">
      <c r="A539" s="69">
        <v>46046.0</v>
      </c>
      <c r="B539" s="70" t="s">
        <v>46</v>
      </c>
      <c r="C539" s="70" t="s">
        <v>143</v>
      </c>
      <c r="D539" s="70" t="s">
        <v>231</v>
      </c>
      <c r="E539" s="84">
        <f t="array" ref="E539">XLOOKUP($D539,concepto_salarios,monto_salarios,0)</f>
        <v>50</v>
      </c>
      <c r="F539" s="72">
        <v>0.0</v>
      </c>
      <c r="G539" s="74">
        <v>0.0</v>
      </c>
      <c r="H539" s="84">
        <f t="shared" si="1"/>
        <v>50</v>
      </c>
      <c r="I539" s="76" t="str">
        <f t="shared" si="2"/>
        <v>enero</v>
      </c>
      <c r="J539" s="76">
        <f t="shared" si="3"/>
        <v>2026</v>
      </c>
    </row>
    <row r="540" ht="22.5" customHeight="1">
      <c r="A540" s="69">
        <v>46046.0</v>
      </c>
      <c r="B540" s="70" t="s">
        <v>51</v>
      </c>
      <c r="C540" s="70" t="s">
        <v>140</v>
      </c>
      <c r="D540" s="70" t="s">
        <v>199</v>
      </c>
      <c r="E540" s="84">
        <f t="array" ref="E540">XLOOKUP($D540,concepto_salarios,monto_salarios,0)</f>
        <v>100</v>
      </c>
      <c r="F540" s="72">
        <v>0.0</v>
      </c>
      <c r="G540" s="74">
        <v>0.0</v>
      </c>
      <c r="H540" s="84">
        <f t="shared" si="1"/>
        <v>100</v>
      </c>
      <c r="I540" s="76" t="str">
        <f t="shared" si="2"/>
        <v>enero</v>
      </c>
      <c r="J540" s="76">
        <f t="shared" si="3"/>
        <v>2026</v>
      </c>
    </row>
    <row r="541" ht="22.5" customHeight="1">
      <c r="A541" s="69">
        <v>46046.0</v>
      </c>
      <c r="B541" s="70" t="s">
        <v>51</v>
      </c>
      <c r="C541" s="70" t="s">
        <v>143</v>
      </c>
      <c r="D541" s="70" t="s">
        <v>241</v>
      </c>
      <c r="E541" s="84">
        <f t="array" ref="E541">XLOOKUP($D541,concepto_salarios,monto_salarios,0)</f>
        <v>60</v>
      </c>
      <c r="F541" s="72">
        <v>0.0</v>
      </c>
      <c r="G541" s="74">
        <v>0.0</v>
      </c>
      <c r="H541" s="84">
        <f t="shared" si="1"/>
        <v>60</v>
      </c>
      <c r="I541" s="76" t="str">
        <f t="shared" si="2"/>
        <v>enero</v>
      </c>
      <c r="J541" s="76">
        <f t="shared" si="3"/>
        <v>2026</v>
      </c>
    </row>
    <row r="542" ht="22.5" customHeight="1">
      <c r="A542" s="69">
        <v>46046.0</v>
      </c>
      <c r="B542" s="70" t="s">
        <v>41</v>
      </c>
      <c r="C542" s="70" t="s">
        <v>163</v>
      </c>
      <c r="D542" s="70" t="s">
        <v>220</v>
      </c>
      <c r="E542" s="84">
        <f t="array" ref="E542">XLOOKUP($D542,concepto_salarios,monto_salarios,0)</f>
        <v>150</v>
      </c>
      <c r="F542" s="72">
        <v>0.0</v>
      </c>
      <c r="G542" s="74">
        <v>0.0</v>
      </c>
      <c r="H542" s="84">
        <f t="shared" si="1"/>
        <v>150</v>
      </c>
      <c r="I542" s="76" t="str">
        <f t="shared" si="2"/>
        <v>enero</v>
      </c>
      <c r="J542" s="76">
        <f t="shared" si="3"/>
        <v>2026</v>
      </c>
    </row>
    <row r="543" ht="22.5" customHeight="1">
      <c r="A543" s="69">
        <v>46046.0</v>
      </c>
      <c r="B543" s="70" t="s">
        <v>81</v>
      </c>
      <c r="C543" s="70" t="s">
        <v>140</v>
      </c>
      <c r="D543" s="70" t="s">
        <v>141</v>
      </c>
      <c r="E543" s="84">
        <f t="array" ref="E543">XLOOKUP($D543,concepto_salarios,monto_salarios,0)</f>
        <v>250</v>
      </c>
      <c r="F543" s="72">
        <v>0.0</v>
      </c>
      <c r="G543" s="74">
        <v>100.0</v>
      </c>
      <c r="H543" s="84">
        <f t="shared" si="1"/>
        <v>350</v>
      </c>
      <c r="I543" s="76" t="str">
        <f t="shared" si="2"/>
        <v>enero</v>
      </c>
      <c r="J543" s="76">
        <f t="shared" si="3"/>
        <v>2026</v>
      </c>
    </row>
    <row r="544" ht="22.5" customHeight="1">
      <c r="A544" s="69">
        <v>46046.0</v>
      </c>
      <c r="B544" s="70" t="s">
        <v>56</v>
      </c>
      <c r="C544" s="70" t="s">
        <v>140</v>
      </c>
      <c r="D544" s="70" t="s">
        <v>199</v>
      </c>
      <c r="E544" s="84">
        <f t="array" ref="E544">XLOOKUP($D544,concepto_salarios,monto_salarios,0)</f>
        <v>100</v>
      </c>
      <c r="F544" s="72">
        <v>0.0</v>
      </c>
      <c r="G544" s="74">
        <v>0.0</v>
      </c>
      <c r="H544" s="84">
        <f t="shared" si="1"/>
        <v>100</v>
      </c>
      <c r="I544" s="76" t="str">
        <f t="shared" si="2"/>
        <v>enero</v>
      </c>
      <c r="J544" s="76">
        <f t="shared" si="3"/>
        <v>2026</v>
      </c>
    </row>
    <row r="545" ht="22.5" customHeight="1">
      <c r="A545" s="69">
        <v>46046.0</v>
      </c>
      <c r="B545" s="70" t="s">
        <v>56</v>
      </c>
      <c r="C545" s="70" t="s">
        <v>143</v>
      </c>
      <c r="D545" s="70" t="s">
        <v>236</v>
      </c>
      <c r="E545" s="84">
        <f t="array" ref="E545">XLOOKUP($D545,concepto_salarios,monto_salarios,0)</f>
        <v>120</v>
      </c>
      <c r="F545" s="72">
        <v>0.0</v>
      </c>
      <c r="G545" s="74">
        <v>0.0</v>
      </c>
      <c r="H545" s="84">
        <f t="shared" si="1"/>
        <v>120</v>
      </c>
      <c r="I545" s="76" t="str">
        <f t="shared" si="2"/>
        <v>enero</v>
      </c>
      <c r="J545" s="76">
        <f t="shared" si="3"/>
        <v>2026</v>
      </c>
    </row>
    <row r="546" ht="22.5" customHeight="1">
      <c r="A546" s="69">
        <v>46046.0</v>
      </c>
      <c r="B546" s="70" t="s">
        <v>56</v>
      </c>
      <c r="C546" s="70" t="s">
        <v>143</v>
      </c>
      <c r="D546" s="70" t="s">
        <v>216</v>
      </c>
      <c r="E546" s="84">
        <f t="array" ref="E546">XLOOKUP($D546,concepto_salarios,monto_salarios,0)</f>
        <v>100</v>
      </c>
      <c r="F546" s="72">
        <v>0.0</v>
      </c>
      <c r="G546" s="74">
        <v>0.0</v>
      </c>
      <c r="H546" s="84">
        <f t="shared" si="1"/>
        <v>100</v>
      </c>
      <c r="I546" s="76" t="str">
        <f t="shared" si="2"/>
        <v>enero</v>
      </c>
      <c r="J546" s="76">
        <f t="shared" si="3"/>
        <v>2026</v>
      </c>
    </row>
    <row r="547" ht="22.5" customHeight="1">
      <c r="A547" s="69">
        <v>46046.0</v>
      </c>
      <c r="B547" s="70" t="s">
        <v>56</v>
      </c>
      <c r="C547" s="70" t="s">
        <v>143</v>
      </c>
      <c r="D547" s="70" t="s">
        <v>241</v>
      </c>
      <c r="E547" s="84">
        <f t="array" ref="E547">XLOOKUP($D547,concepto_salarios,monto_salarios,0)</f>
        <v>60</v>
      </c>
      <c r="F547" s="72">
        <v>0.0</v>
      </c>
      <c r="G547" s="74">
        <v>0.0</v>
      </c>
      <c r="H547" s="84">
        <f t="shared" si="1"/>
        <v>60</v>
      </c>
      <c r="I547" s="76" t="str">
        <f t="shared" si="2"/>
        <v>enero</v>
      </c>
      <c r="J547" s="76">
        <f t="shared" si="3"/>
        <v>2026</v>
      </c>
    </row>
    <row r="548" ht="22.5" customHeight="1">
      <c r="A548" s="69">
        <v>46047.0</v>
      </c>
      <c r="B548" s="70" t="s">
        <v>79</v>
      </c>
      <c r="C548" s="70" t="s">
        <v>140</v>
      </c>
      <c r="D548" s="70" t="s">
        <v>145</v>
      </c>
      <c r="E548" s="84">
        <f t="array" ref="E548">XLOOKUP($D548,concepto_salarios,monto_salarios,0)</f>
        <v>350</v>
      </c>
      <c r="F548" s="72">
        <v>0.0</v>
      </c>
      <c r="G548" s="74">
        <v>0.0</v>
      </c>
      <c r="H548" s="84">
        <f t="shared" si="1"/>
        <v>350</v>
      </c>
      <c r="I548" s="76" t="str">
        <f t="shared" si="2"/>
        <v>enero</v>
      </c>
      <c r="J548" s="76">
        <f t="shared" si="3"/>
        <v>2026</v>
      </c>
    </row>
    <row r="549" ht="22.5" customHeight="1">
      <c r="A549" s="69">
        <v>46047.0</v>
      </c>
      <c r="B549" s="70" t="s">
        <v>79</v>
      </c>
      <c r="C549" s="70" t="s">
        <v>163</v>
      </c>
      <c r="D549" s="70" t="s">
        <v>164</v>
      </c>
      <c r="E549" s="84">
        <f t="array" ref="E549">XLOOKUP($D549,concepto_salarios,monto_salarios,0)</f>
        <v>100</v>
      </c>
      <c r="F549" s="72">
        <v>0.0</v>
      </c>
      <c r="G549" s="74">
        <v>0.0</v>
      </c>
      <c r="H549" s="84">
        <f t="shared" si="1"/>
        <v>100</v>
      </c>
      <c r="I549" s="76" t="str">
        <f t="shared" si="2"/>
        <v>enero</v>
      </c>
      <c r="J549" s="76">
        <f t="shared" si="3"/>
        <v>2026</v>
      </c>
    </row>
    <row r="550" ht="22.5" customHeight="1">
      <c r="A550" s="69">
        <v>46047.0</v>
      </c>
      <c r="B550" s="70" t="s">
        <v>79</v>
      </c>
      <c r="C550" s="70" t="s">
        <v>140</v>
      </c>
      <c r="D550" s="70" t="s">
        <v>201</v>
      </c>
      <c r="E550" s="84">
        <f t="array" ref="E550">XLOOKUP($D550,concepto_salarios,monto_salarios,0)</f>
        <v>100</v>
      </c>
      <c r="F550" s="72">
        <v>0.0</v>
      </c>
      <c r="G550" s="74">
        <v>0.0</v>
      </c>
      <c r="H550" s="84">
        <f t="shared" si="1"/>
        <v>100</v>
      </c>
      <c r="I550" s="76" t="str">
        <f t="shared" si="2"/>
        <v>enero</v>
      </c>
      <c r="J550" s="76">
        <f t="shared" si="3"/>
        <v>2026</v>
      </c>
    </row>
    <row r="551" ht="22.5" customHeight="1">
      <c r="A551" s="69">
        <v>46047.0</v>
      </c>
      <c r="B551" s="70" t="s">
        <v>79</v>
      </c>
      <c r="C551" s="70" t="s">
        <v>143</v>
      </c>
      <c r="D551" s="70" t="s">
        <v>182</v>
      </c>
      <c r="E551" s="84">
        <f t="array" ref="E551">XLOOKUP($D551,concepto_salarios,monto_salarios,0)</f>
        <v>45</v>
      </c>
      <c r="F551" s="72">
        <v>0.0</v>
      </c>
      <c r="G551" s="74">
        <v>0.0</v>
      </c>
      <c r="H551" s="84">
        <f t="shared" si="1"/>
        <v>45</v>
      </c>
      <c r="I551" s="76" t="str">
        <f t="shared" si="2"/>
        <v>enero</v>
      </c>
      <c r="J551" s="76">
        <f t="shared" si="3"/>
        <v>2026</v>
      </c>
    </row>
    <row r="552" ht="22.5" customHeight="1">
      <c r="A552" s="69">
        <v>46047.0</v>
      </c>
      <c r="B552" s="70" t="s">
        <v>73</v>
      </c>
      <c r="C552" s="70" t="s">
        <v>140</v>
      </c>
      <c r="D552" s="70" t="s">
        <v>145</v>
      </c>
      <c r="E552" s="84">
        <f t="array" ref="E552">XLOOKUP($D552,concepto_salarios,monto_salarios,0)</f>
        <v>350</v>
      </c>
      <c r="F552" s="72">
        <v>0.0</v>
      </c>
      <c r="G552" s="74">
        <v>0.0</v>
      </c>
      <c r="H552" s="84">
        <f t="shared" si="1"/>
        <v>350</v>
      </c>
      <c r="I552" s="76" t="str">
        <f t="shared" si="2"/>
        <v>enero</v>
      </c>
      <c r="J552" s="76">
        <f t="shared" si="3"/>
        <v>2026</v>
      </c>
    </row>
    <row r="553" ht="22.5" customHeight="1">
      <c r="A553" s="69">
        <v>46047.0</v>
      </c>
      <c r="B553" s="70" t="s">
        <v>73</v>
      </c>
      <c r="C553" s="70" t="s">
        <v>163</v>
      </c>
      <c r="D553" s="70" t="s">
        <v>164</v>
      </c>
      <c r="E553" s="84">
        <f t="array" ref="E553">XLOOKUP($D553,concepto_salarios,monto_salarios,0)</f>
        <v>100</v>
      </c>
      <c r="F553" s="72">
        <v>0.0</v>
      </c>
      <c r="G553" s="74">
        <v>0.0</v>
      </c>
      <c r="H553" s="84">
        <f t="shared" si="1"/>
        <v>100</v>
      </c>
      <c r="I553" s="76" t="str">
        <f t="shared" si="2"/>
        <v>enero</v>
      </c>
      <c r="J553" s="76">
        <f t="shared" si="3"/>
        <v>2026</v>
      </c>
    </row>
    <row r="554" ht="22.5" customHeight="1">
      <c r="A554" s="69">
        <v>46047.0</v>
      </c>
      <c r="B554" s="70" t="s">
        <v>73</v>
      </c>
      <c r="C554" s="70" t="s">
        <v>140</v>
      </c>
      <c r="D554" s="70" t="s">
        <v>201</v>
      </c>
      <c r="E554" s="84">
        <f t="array" ref="E554">XLOOKUP($D554,concepto_salarios,monto_salarios,0)</f>
        <v>100</v>
      </c>
      <c r="F554" s="72">
        <v>0.0</v>
      </c>
      <c r="G554" s="74">
        <v>0.0</v>
      </c>
      <c r="H554" s="84">
        <f t="shared" si="1"/>
        <v>100</v>
      </c>
      <c r="I554" s="76" t="str">
        <f t="shared" si="2"/>
        <v>enero</v>
      </c>
      <c r="J554" s="76">
        <f t="shared" si="3"/>
        <v>2026</v>
      </c>
    </row>
    <row r="555" ht="22.5" customHeight="1">
      <c r="A555" s="69">
        <v>46047.0</v>
      </c>
      <c r="B555" s="70" t="s">
        <v>73</v>
      </c>
      <c r="C555" s="70" t="s">
        <v>143</v>
      </c>
      <c r="D555" s="70" t="s">
        <v>182</v>
      </c>
      <c r="E555" s="84">
        <f t="array" ref="E555">XLOOKUP($D555,concepto_salarios,monto_salarios,0)</f>
        <v>45</v>
      </c>
      <c r="F555" s="72">
        <v>0.0</v>
      </c>
      <c r="G555" s="74">
        <v>0.0</v>
      </c>
      <c r="H555" s="84">
        <f t="shared" si="1"/>
        <v>45</v>
      </c>
      <c r="I555" s="76" t="str">
        <f t="shared" si="2"/>
        <v>enero</v>
      </c>
      <c r="J555" s="76">
        <f t="shared" si="3"/>
        <v>2026</v>
      </c>
    </row>
    <row r="556" ht="22.5" customHeight="1">
      <c r="A556" s="69">
        <v>46047.0</v>
      </c>
      <c r="B556" s="70" t="s">
        <v>73</v>
      </c>
      <c r="C556" s="70" t="s">
        <v>143</v>
      </c>
      <c r="D556" s="70" t="s">
        <v>172</v>
      </c>
      <c r="E556" s="84">
        <f t="array" ref="E556">XLOOKUP($D556,concepto_salarios,monto_salarios,0)</f>
        <v>90</v>
      </c>
      <c r="F556" s="72">
        <v>0.0</v>
      </c>
      <c r="G556" s="74">
        <v>0.0</v>
      </c>
      <c r="H556" s="84">
        <f t="shared" si="1"/>
        <v>90</v>
      </c>
      <c r="I556" s="76" t="str">
        <f t="shared" si="2"/>
        <v>enero</v>
      </c>
      <c r="J556" s="76">
        <f t="shared" si="3"/>
        <v>2026</v>
      </c>
    </row>
    <row r="557" ht="22.5" customHeight="1">
      <c r="A557" s="69">
        <v>46051.0</v>
      </c>
      <c r="B557" s="70" t="s">
        <v>46</v>
      </c>
      <c r="C557" s="70" t="s">
        <v>142</v>
      </c>
      <c r="D557" s="70" t="s">
        <v>208</v>
      </c>
      <c r="E557" s="84">
        <f t="array" ref="E557">XLOOKUP($D557,concepto_salarios,monto_salarios,0)</f>
        <v>504</v>
      </c>
      <c r="F557" s="72">
        <v>302.0</v>
      </c>
      <c r="G557" s="74">
        <v>0.0</v>
      </c>
      <c r="H557" s="84">
        <f t="shared" si="1"/>
        <v>202</v>
      </c>
      <c r="I557" s="76" t="str">
        <f t="shared" si="2"/>
        <v>enero</v>
      </c>
      <c r="J557" s="76">
        <f t="shared" si="3"/>
        <v>2026</v>
      </c>
    </row>
    <row r="558" ht="22.5" customHeight="1">
      <c r="A558" s="69">
        <v>46051.0</v>
      </c>
      <c r="B558" s="70" t="s">
        <v>46</v>
      </c>
      <c r="C558" s="70" t="s">
        <v>142</v>
      </c>
      <c r="D558" s="70" t="s">
        <v>200</v>
      </c>
      <c r="E558" s="84">
        <f t="array" ref="E558">XLOOKUP($D558,concepto_salarios,monto_salarios,0)</f>
        <v>990</v>
      </c>
      <c r="F558" s="72">
        <v>396.0</v>
      </c>
      <c r="G558" s="74">
        <v>0.0</v>
      </c>
      <c r="H558" s="84">
        <f t="shared" si="1"/>
        <v>594</v>
      </c>
      <c r="I558" s="76" t="str">
        <f t="shared" si="2"/>
        <v>enero</v>
      </c>
      <c r="J558" s="76">
        <f t="shared" si="3"/>
        <v>2026</v>
      </c>
    </row>
    <row r="559" ht="22.5" customHeight="1">
      <c r="A559" s="69">
        <v>46051.0</v>
      </c>
      <c r="B559" s="70" t="s">
        <v>56</v>
      </c>
      <c r="C559" s="70" t="s">
        <v>142</v>
      </c>
      <c r="D559" s="70" t="s">
        <v>208</v>
      </c>
      <c r="E559" s="84">
        <f t="array" ref="E559">XLOOKUP($D559,concepto_salarios,monto_salarios,0)</f>
        <v>504</v>
      </c>
      <c r="F559" s="72">
        <v>302.0</v>
      </c>
      <c r="G559" s="74">
        <v>0.0</v>
      </c>
      <c r="H559" s="84">
        <f t="shared" si="1"/>
        <v>202</v>
      </c>
      <c r="I559" s="76" t="str">
        <f t="shared" si="2"/>
        <v>enero</v>
      </c>
      <c r="J559" s="76">
        <f t="shared" si="3"/>
        <v>2026</v>
      </c>
    </row>
    <row r="560" ht="22.5" customHeight="1">
      <c r="A560" s="69">
        <v>46053.0</v>
      </c>
      <c r="B560" s="70" t="s">
        <v>46</v>
      </c>
      <c r="C560" s="70" t="s">
        <v>142</v>
      </c>
      <c r="D560" s="70" t="s">
        <v>223</v>
      </c>
      <c r="E560" s="84">
        <f t="array" ref="E560">XLOOKUP($D560,concepto_salarios,monto_salarios,0)</f>
        <v>100</v>
      </c>
      <c r="F560" s="72">
        <v>0.0</v>
      </c>
      <c r="G560" s="74">
        <v>0.0</v>
      </c>
      <c r="H560" s="84">
        <f t="shared" si="1"/>
        <v>100</v>
      </c>
      <c r="I560" s="76" t="str">
        <f t="shared" si="2"/>
        <v>enero</v>
      </c>
      <c r="J560" s="76">
        <f t="shared" si="3"/>
        <v>2026</v>
      </c>
    </row>
    <row r="561" ht="22.5" customHeight="1">
      <c r="A561" s="69">
        <v>46053.0</v>
      </c>
      <c r="B561" s="70" t="s">
        <v>46</v>
      </c>
      <c r="C561" s="70" t="s">
        <v>142</v>
      </c>
      <c r="D561" s="70" t="s">
        <v>248</v>
      </c>
      <c r="E561" s="84">
        <f t="array" ref="E561">XLOOKUP($D561,concepto_salarios,monto_salarios,0)</f>
        <v>100</v>
      </c>
      <c r="F561" s="72">
        <v>0.0</v>
      </c>
      <c r="G561" s="74">
        <v>0.0</v>
      </c>
      <c r="H561" s="84">
        <f t="shared" si="1"/>
        <v>100</v>
      </c>
      <c r="I561" s="76" t="str">
        <f t="shared" si="2"/>
        <v>enero</v>
      </c>
      <c r="J561" s="76">
        <f t="shared" si="3"/>
        <v>2026</v>
      </c>
    </row>
    <row r="562" ht="22.5" customHeight="1">
      <c r="A562" s="69">
        <v>46053.0</v>
      </c>
      <c r="B562" s="70" t="s">
        <v>51</v>
      </c>
      <c r="C562" s="70" t="s">
        <v>142</v>
      </c>
      <c r="D562" s="70" t="s">
        <v>233</v>
      </c>
      <c r="E562" s="84">
        <f t="array" ref="E562">XLOOKUP($D562,concepto_salarios,monto_salarios,0)</f>
        <v>1290</v>
      </c>
      <c r="F562" s="72">
        <v>150.0</v>
      </c>
      <c r="G562" s="74">
        <v>0.0</v>
      </c>
      <c r="H562" s="84">
        <f t="shared" si="1"/>
        <v>1140</v>
      </c>
      <c r="I562" s="76" t="str">
        <f t="shared" si="2"/>
        <v>enero</v>
      </c>
      <c r="J562" s="76">
        <f t="shared" si="3"/>
        <v>2026</v>
      </c>
    </row>
    <row r="563" ht="22.5" customHeight="1">
      <c r="A563" s="69">
        <v>46053.0</v>
      </c>
      <c r="B563" s="70" t="s">
        <v>41</v>
      </c>
      <c r="C563" s="70" t="s">
        <v>140</v>
      </c>
      <c r="D563" s="70" t="s">
        <v>141</v>
      </c>
      <c r="E563" s="84">
        <f t="array" ref="E563">XLOOKUP($D563,concepto_salarios,monto_salarios,0)</f>
        <v>250</v>
      </c>
      <c r="F563" s="72">
        <v>0.0</v>
      </c>
      <c r="G563" s="74">
        <v>0.0</v>
      </c>
      <c r="H563" s="84">
        <f t="shared" si="1"/>
        <v>250</v>
      </c>
      <c r="I563" s="76" t="str">
        <f t="shared" si="2"/>
        <v>enero</v>
      </c>
      <c r="J563" s="76">
        <f t="shared" si="3"/>
        <v>2026</v>
      </c>
    </row>
    <row r="564" ht="22.5" customHeight="1">
      <c r="A564" s="69">
        <v>46053.0</v>
      </c>
      <c r="B564" s="70" t="s">
        <v>41</v>
      </c>
      <c r="C564" s="70" t="s">
        <v>143</v>
      </c>
      <c r="D564" s="70" t="s">
        <v>231</v>
      </c>
      <c r="E564" s="84">
        <f t="array" ref="E564">XLOOKUP($D564,concepto_salarios,monto_salarios,0)</f>
        <v>50</v>
      </c>
      <c r="F564" s="72">
        <v>0.0</v>
      </c>
      <c r="G564" s="74">
        <v>0.0</v>
      </c>
      <c r="H564" s="84">
        <f t="shared" si="1"/>
        <v>50</v>
      </c>
      <c r="I564" s="76" t="str">
        <f t="shared" si="2"/>
        <v>enero</v>
      </c>
      <c r="J564" s="76">
        <f t="shared" si="3"/>
        <v>2026</v>
      </c>
    </row>
    <row r="565" ht="22.5" customHeight="1">
      <c r="A565" s="69">
        <v>46053.0</v>
      </c>
      <c r="B565" s="70" t="s">
        <v>41</v>
      </c>
      <c r="C565" s="70" t="s">
        <v>143</v>
      </c>
      <c r="D565" s="70" t="s">
        <v>168</v>
      </c>
      <c r="E565" s="84">
        <f t="array" ref="E565">XLOOKUP($D565,concepto_salarios,monto_salarios,0)</f>
        <v>75</v>
      </c>
      <c r="F565" s="72">
        <v>0.0</v>
      </c>
      <c r="G565" s="74">
        <v>0.0</v>
      </c>
      <c r="H565" s="84">
        <f t="shared" si="1"/>
        <v>75</v>
      </c>
      <c r="I565" s="76" t="str">
        <f t="shared" si="2"/>
        <v>enero</v>
      </c>
      <c r="J565" s="76">
        <f t="shared" si="3"/>
        <v>2026</v>
      </c>
    </row>
    <row r="566" ht="22.5" customHeight="1">
      <c r="A566" s="69">
        <v>46053.0</v>
      </c>
      <c r="B566" s="70" t="s">
        <v>41</v>
      </c>
      <c r="C566" s="70" t="s">
        <v>143</v>
      </c>
      <c r="D566" s="70" t="s">
        <v>193</v>
      </c>
      <c r="E566" s="84">
        <f t="array" ref="E566">XLOOKUP($D566,concepto_salarios,monto_salarios,0)</f>
        <v>45</v>
      </c>
      <c r="F566" s="72">
        <v>0.0</v>
      </c>
      <c r="G566" s="74">
        <v>0.0</v>
      </c>
      <c r="H566" s="84">
        <f t="shared" si="1"/>
        <v>45</v>
      </c>
      <c r="I566" s="76" t="str">
        <f t="shared" si="2"/>
        <v>enero</v>
      </c>
      <c r="J566" s="76">
        <f t="shared" si="3"/>
        <v>2026</v>
      </c>
    </row>
    <row r="567" ht="22.5" customHeight="1">
      <c r="A567" s="69">
        <v>46053.0</v>
      </c>
      <c r="B567" s="70" t="s">
        <v>73</v>
      </c>
      <c r="C567" s="70" t="s">
        <v>143</v>
      </c>
      <c r="D567" s="70" t="s">
        <v>181</v>
      </c>
      <c r="E567" s="84">
        <f t="array" ref="E567">XLOOKUP($D567,concepto_salarios,monto_salarios,0)</f>
        <v>75</v>
      </c>
      <c r="F567" s="72">
        <v>0.0</v>
      </c>
      <c r="G567" s="74">
        <v>0.0</v>
      </c>
      <c r="H567" s="84">
        <f t="shared" si="1"/>
        <v>75</v>
      </c>
      <c r="I567" s="76" t="str">
        <f t="shared" si="2"/>
        <v>enero</v>
      </c>
      <c r="J567" s="76">
        <f t="shared" si="3"/>
        <v>2026</v>
      </c>
    </row>
    <row r="568" ht="22.5" customHeight="1">
      <c r="A568" s="69">
        <v>46053.0</v>
      </c>
      <c r="B568" s="70" t="s">
        <v>73</v>
      </c>
      <c r="C568" s="70" t="s">
        <v>143</v>
      </c>
      <c r="D568" s="70" t="s">
        <v>179</v>
      </c>
      <c r="E568" s="84">
        <f t="array" ref="E568">XLOOKUP($D568,concepto_salarios,monto_salarios,0)</f>
        <v>50</v>
      </c>
      <c r="F568" s="72">
        <v>0.0</v>
      </c>
      <c r="G568" s="74">
        <v>0.0</v>
      </c>
      <c r="H568" s="84">
        <f t="shared" si="1"/>
        <v>50</v>
      </c>
      <c r="I568" s="76" t="str">
        <f t="shared" si="2"/>
        <v>enero</v>
      </c>
      <c r="J568" s="76">
        <f t="shared" si="3"/>
        <v>2026</v>
      </c>
    </row>
    <row r="569" ht="22.5" customHeight="1">
      <c r="A569" s="69">
        <v>46053.0</v>
      </c>
      <c r="B569" s="70" t="s">
        <v>73</v>
      </c>
      <c r="C569" s="70" t="s">
        <v>143</v>
      </c>
      <c r="D569" s="70" t="s">
        <v>166</v>
      </c>
      <c r="E569" s="84">
        <f t="array" ref="E569">XLOOKUP($D569,concepto_salarios,monto_salarios,0)</f>
        <v>90</v>
      </c>
      <c r="F569" s="72">
        <v>0.0</v>
      </c>
      <c r="G569" s="74">
        <v>0.0</v>
      </c>
      <c r="H569" s="84">
        <f t="shared" si="1"/>
        <v>90</v>
      </c>
      <c r="I569" s="76" t="str">
        <f t="shared" si="2"/>
        <v>enero</v>
      </c>
      <c r="J569" s="76">
        <f t="shared" si="3"/>
        <v>2026</v>
      </c>
    </row>
    <row r="570" ht="22.5" customHeight="1">
      <c r="A570" s="69">
        <v>46053.0</v>
      </c>
      <c r="B570" s="70" t="s">
        <v>73</v>
      </c>
      <c r="C570" s="70" t="s">
        <v>143</v>
      </c>
      <c r="D570" s="70" t="s">
        <v>169</v>
      </c>
      <c r="E570" s="84">
        <f t="array" ref="E570">XLOOKUP($D570,concepto_salarios,monto_salarios,0)</f>
        <v>100</v>
      </c>
      <c r="F570" s="72">
        <v>0.0</v>
      </c>
      <c r="G570" s="74">
        <v>0.0</v>
      </c>
      <c r="H570" s="84">
        <f t="shared" si="1"/>
        <v>100</v>
      </c>
      <c r="I570" s="76" t="str">
        <f t="shared" si="2"/>
        <v>enero</v>
      </c>
      <c r="J570" s="76">
        <f t="shared" si="3"/>
        <v>2026</v>
      </c>
    </row>
    <row r="571" ht="22.5" customHeight="1">
      <c r="A571" s="69">
        <v>46053.0</v>
      </c>
      <c r="B571" s="70" t="s">
        <v>73</v>
      </c>
      <c r="C571" s="70" t="s">
        <v>140</v>
      </c>
      <c r="D571" s="70" t="s">
        <v>141</v>
      </c>
      <c r="E571" s="84">
        <f t="array" ref="E571">XLOOKUP($D571,concepto_salarios,monto_salarios,0)</f>
        <v>250</v>
      </c>
      <c r="F571" s="72">
        <v>0.0</v>
      </c>
      <c r="G571" s="74">
        <v>0.0</v>
      </c>
      <c r="H571" s="84">
        <f t="shared" si="1"/>
        <v>250</v>
      </c>
      <c r="I571" s="76" t="str">
        <f t="shared" si="2"/>
        <v>enero</v>
      </c>
      <c r="J571" s="76">
        <f t="shared" si="3"/>
        <v>2026</v>
      </c>
    </row>
    <row r="572" ht="22.5" customHeight="1">
      <c r="A572" s="69">
        <v>46053.0</v>
      </c>
      <c r="B572" s="70" t="s">
        <v>73</v>
      </c>
      <c r="C572" s="70" t="s">
        <v>143</v>
      </c>
      <c r="D572" s="70" t="s">
        <v>193</v>
      </c>
      <c r="E572" s="84">
        <f t="array" ref="E572">XLOOKUP($D572,concepto_salarios,monto_salarios,0)</f>
        <v>45</v>
      </c>
      <c r="F572" s="72">
        <v>0.0</v>
      </c>
      <c r="G572" s="74">
        <v>0.0</v>
      </c>
      <c r="H572" s="84">
        <f t="shared" si="1"/>
        <v>45</v>
      </c>
      <c r="I572" s="76" t="str">
        <f t="shared" si="2"/>
        <v>enero</v>
      </c>
      <c r="J572" s="76">
        <f t="shared" si="3"/>
        <v>2026</v>
      </c>
    </row>
    <row r="573" ht="22.5" customHeight="1">
      <c r="A573" s="69">
        <v>46053.0</v>
      </c>
      <c r="B573" s="70" t="s">
        <v>70</v>
      </c>
      <c r="C573" s="70" t="s">
        <v>143</v>
      </c>
      <c r="D573" s="70" t="s">
        <v>170</v>
      </c>
      <c r="E573" s="84">
        <f t="array" ref="E573">XLOOKUP($D573,concepto_salarios,monto_salarios,0)</f>
        <v>150</v>
      </c>
      <c r="F573" s="72">
        <v>0.0</v>
      </c>
      <c r="G573" s="74">
        <v>0.0</v>
      </c>
      <c r="H573" s="84">
        <f t="shared" si="1"/>
        <v>150</v>
      </c>
      <c r="I573" s="76" t="str">
        <f t="shared" si="2"/>
        <v>enero</v>
      </c>
      <c r="J573" s="76">
        <f t="shared" si="3"/>
        <v>2026</v>
      </c>
    </row>
    <row r="574" ht="22.5" customHeight="1">
      <c r="A574" s="69">
        <v>46053.0</v>
      </c>
      <c r="B574" s="70" t="s">
        <v>70</v>
      </c>
      <c r="C574" s="70" t="s">
        <v>143</v>
      </c>
      <c r="D574" s="70" t="s">
        <v>188</v>
      </c>
      <c r="E574" s="84">
        <f t="array" ref="E574">XLOOKUP($D574,concepto_salarios,monto_salarios,0)</f>
        <v>90</v>
      </c>
      <c r="F574" s="72">
        <v>0.0</v>
      </c>
      <c r="G574" s="74">
        <v>0.0</v>
      </c>
      <c r="H574" s="84">
        <f t="shared" si="1"/>
        <v>90</v>
      </c>
      <c r="I574" s="76" t="str">
        <f t="shared" si="2"/>
        <v>enero</v>
      </c>
      <c r="J574" s="76">
        <f t="shared" si="3"/>
        <v>2026</v>
      </c>
    </row>
    <row r="575" ht="22.5" customHeight="1">
      <c r="A575" s="69">
        <v>46053.0</v>
      </c>
      <c r="B575" s="70" t="s">
        <v>70</v>
      </c>
      <c r="C575" s="70" t="s">
        <v>143</v>
      </c>
      <c r="D575" s="70" t="s">
        <v>218</v>
      </c>
      <c r="E575" s="84">
        <f t="array" ref="E575">XLOOKUP($D575,concepto_salarios,monto_salarios,0)</f>
        <v>100</v>
      </c>
      <c r="F575" s="72">
        <v>0.0</v>
      </c>
      <c r="G575" s="74">
        <v>0.0</v>
      </c>
      <c r="H575" s="84">
        <f t="shared" si="1"/>
        <v>100</v>
      </c>
      <c r="I575" s="76" t="str">
        <f t="shared" si="2"/>
        <v>enero</v>
      </c>
      <c r="J575" s="76">
        <f t="shared" si="3"/>
        <v>2026</v>
      </c>
    </row>
    <row r="576" ht="22.5" customHeight="1">
      <c r="A576" s="69">
        <v>46053.0</v>
      </c>
      <c r="B576" s="70" t="s">
        <v>70</v>
      </c>
      <c r="C576" s="70" t="s">
        <v>143</v>
      </c>
      <c r="D576" s="70" t="s">
        <v>237</v>
      </c>
      <c r="E576" s="84">
        <f t="array" ref="E576">XLOOKUP($D576,concepto_salarios,monto_salarios,0)</f>
        <v>45</v>
      </c>
      <c r="F576" s="72">
        <v>0.0</v>
      </c>
      <c r="G576" s="74">
        <v>0.0</v>
      </c>
      <c r="H576" s="84">
        <f t="shared" si="1"/>
        <v>45</v>
      </c>
      <c r="I576" s="76" t="str">
        <f t="shared" si="2"/>
        <v>enero</v>
      </c>
      <c r="J576" s="76">
        <f t="shared" si="3"/>
        <v>2026</v>
      </c>
    </row>
    <row r="577" ht="22.5" customHeight="1">
      <c r="A577" s="69">
        <v>46053.0</v>
      </c>
      <c r="B577" s="70" t="s">
        <v>70</v>
      </c>
      <c r="C577" s="70" t="s">
        <v>143</v>
      </c>
      <c r="D577" s="70" t="s">
        <v>180</v>
      </c>
      <c r="E577" s="84">
        <f t="array" ref="E577">XLOOKUP($D577,concepto_salarios,monto_salarios,0)</f>
        <v>50</v>
      </c>
      <c r="F577" s="72">
        <v>0.0</v>
      </c>
      <c r="G577" s="74">
        <v>0.0</v>
      </c>
      <c r="H577" s="84">
        <f t="shared" si="1"/>
        <v>50</v>
      </c>
      <c r="I577" s="76" t="str">
        <f t="shared" si="2"/>
        <v>enero</v>
      </c>
      <c r="J577" s="76">
        <f t="shared" si="3"/>
        <v>2026</v>
      </c>
    </row>
    <row r="578" ht="22.5" customHeight="1">
      <c r="A578" s="69">
        <v>46053.0</v>
      </c>
      <c r="B578" s="70" t="s">
        <v>70</v>
      </c>
      <c r="C578" s="70" t="s">
        <v>140</v>
      </c>
      <c r="D578" s="70" t="s">
        <v>141</v>
      </c>
      <c r="E578" s="84">
        <f t="array" ref="E578">XLOOKUP($D578,concepto_salarios,monto_salarios,0)</f>
        <v>250</v>
      </c>
      <c r="F578" s="72">
        <v>0.0</v>
      </c>
      <c r="G578" s="74">
        <v>0.0</v>
      </c>
      <c r="H578" s="84">
        <f t="shared" si="1"/>
        <v>250</v>
      </c>
      <c r="I578" s="76" t="str">
        <f t="shared" si="2"/>
        <v>enero</v>
      </c>
      <c r="J578" s="76">
        <f t="shared" si="3"/>
        <v>2026</v>
      </c>
    </row>
    <row r="579" ht="22.5" customHeight="1">
      <c r="A579" s="69">
        <v>46053.0</v>
      </c>
      <c r="B579" s="70" t="s">
        <v>70</v>
      </c>
      <c r="C579" s="70" t="s">
        <v>163</v>
      </c>
      <c r="D579" s="70" t="s">
        <v>164</v>
      </c>
      <c r="E579" s="84">
        <f t="array" ref="E579">XLOOKUP($D579,concepto_salarios,monto_salarios,0)</f>
        <v>100</v>
      </c>
      <c r="F579" s="72">
        <v>0.0</v>
      </c>
      <c r="G579" s="74">
        <v>0.0</v>
      </c>
      <c r="H579" s="84">
        <f t="shared" si="1"/>
        <v>100</v>
      </c>
      <c r="I579" s="76" t="str">
        <f t="shared" si="2"/>
        <v>enero</v>
      </c>
      <c r="J579" s="76">
        <f t="shared" si="3"/>
        <v>2026</v>
      </c>
    </row>
    <row r="580" ht="22.5" customHeight="1">
      <c r="A580" s="69">
        <v>46053.0</v>
      </c>
      <c r="B580" s="70" t="s">
        <v>81</v>
      </c>
      <c r="C580" s="70" t="s">
        <v>140</v>
      </c>
      <c r="D580" s="70" t="s">
        <v>141</v>
      </c>
      <c r="E580" s="84">
        <f t="array" ref="E580">XLOOKUP($D580,concepto_salarios,monto_salarios,0)</f>
        <v>250</v>
      </c>
      <c r="F580" s="72">
        <v>0.0</v>
      </c>
      <c r="G580" s="74">
        <v>0.0</v>
      </c>
      <c r="H580" s="84">
        <f t="shared" si="1"/>
        <v>250</v>
      </c>
      <c r="I580" s="76" t="str">
        <f t="shared" si="2"/>
        <v>enero</v>
      </c>
      <c r="J580" s="76">
        <f t="shared" si="3"/>
        <v>2026</v>
      </c>
    </row>
    <row r="581" ht="22.5" customHeight="1">
      <c r="A581" s="69">
        <v>46053.0</v>
      </c>
      <c r="B581" s="70" t="s">
        <v>81</v>
      </c>
      <c r="C581" s="70" t="s">
        <v>143</v>
      </c>
      <c r="D581" s="70" t="s">
        <v>242</v>
      </c>
      <c r="E581" s="84">
        <f t="array" ref="E581">XLOOKUP($D581,concepto_salarios,monto_salarios,0)</f>
        <v>45</v>
      </c>
      <c r="F581" s="72">
        <v>0.0</v>
      </c>
      <c r="G581" s="74">
        <v>0.0</v>
      </c>
      <c r="H581" s="84">
        <f t="shared" si="1"/>
        <v>45</v>
      </c>
      <c r="I581" s="76" t="str">
        <f t="shared" si="2"/>
        <v>enero</v>
      </c>
      <c r="J581" s="76">
        <f t="shared" si="3"/>
        <v>2026</v>
      </c>
    </row>
    <row r="582" ht="22.5" customHeight="1">
      <c r="A582" s="69">
        <v>46053.0</v>
      </c>
      <c r="B582" s="70" t="s">
        <v>81</v>
      </c>
      <c r="C582" s="70" t="s">
        <v>143</v>
      </c>
      <c r="D582" s="70" t="s">
        <v>249</v>
      </c>
      <c r="E582" s="84">
        <f t="array" ref="E582">XLOOKUP($D582,concepto_salarios,monto_salarios,0)</f>
        <v>50</v>
      </c>
      <c r="F582" s="72">
        <v>0.0</v>
      </c>
      <c r="G582" s="74">
        <v>0.0</v>
      </c>
      <c r="H582" s="84">
        <f t="shared" si="1"/>
        <v>50</v>
      </c>
      <c r="I582" s="76" t="str">
        <f t="shared" si="2"/>
        <v>enero</v>
      </c>
      <c r="J582" s="76">
        <f t="shared" si="3"/>
        <v>2026</v>
      </c>
    </row>
    <row r="583" ht="22.5" customHeight="1">
      <c r="A583" s="69">
        <v>46053.0</v>
      </c>
      <c r="B583" s="70" t="s">
        <v>56</v>
      </c>
      <c r="C583" s="70" t="s">
        <v>142</v>
      </c>
      <c r="D583" s="70" t="s">
        <v>223</v>
      </c>
      <c r="E583" s="84">
        <f t="array" ref="E583">XLOOKUP($D583,concepto_salarios,monto_salarios,0)</f>
        <v>100</v>
      </c>
      <c r="F583" s="72">
        <v>0.0</v>
      </c>
      <c r="G583" s="74">
        <v>0.0</v>
      </c>
      <c r="H583" s="84">
        <f t="shared" si="1"/>
        <v>100</v>
      </c>
      <c r="I583" s="76" t="str">
        <f t="shared" si="2"/>
        <v>enero</v>
      </c>
      <c r="J583" s="76">
        <f t="shared" si="3"/>
        <v>2026</v>
      </c>
    </row>
    <row r="584" ht="22.5" customHeight="1">
      <c r="A584" s="69">
        <v>46053.0</v>
      </c>
      <c r="B584" s="70" t="s">
        <v>56</v>
      </c>
      <c r="C584" s="70" t="s">
        <v>142</v>
      </c>
      <c r="D584" s="70" t="s">
        <v>248</v>
      </c>
      <c r="E584" s="84">
        <f t="array" ref="E584">XLOOKUP($D584,concepto_salarios,monto_salarios,0)</f>
        <v>100</v>
      </c>
      <c r="F584" s="72">
        <v>0.0</v>
      </c>
      <c r="G584" s="74">
        <v>0.0</v>
      </c>
      <c r="H584" s="84">
        <f t="shared" si="1"/>
        <v>100</v>
      </c>
      <c r="I584" s="76" t="str">
        <f t="shared" si="2"/>
        <v>enero</v>
      </c>
      <c r="J584" s="76">
        <f t="shared" si="3"/>
        <v>2026</v>
      </c>
    </row>
    <row r="585" ht="22.5" customHeight="1">
      <c r="A585" s="69">
        <v>46053.0</v>
      </c>
      <c r="B585" s="70" t="s">
        <v>56</v>
      </c>
      <c r="C585" s="70" t="s">
        <v>142</v>
      </c>
      <c r="D585" s="70" t="s">
        <v>223</v>
      </c>
      <c r="E585" s="84">
        <f t="array" ref="E585">XLOOKUP($D585,concepto_salarios,monto_salarios,0)</f>
        <v>100</v>
      </c>
      <c r="F585" s="72">
        <v>0.0</v>
      </c>
      <c r="G585" s="74">
        <v>0.0</v>
      </c>
      <c r="H585" s="84">
        <f t="shared" si="1"/>
        <v>100</v>
      </c>
      <c r="I585" s="76" t="str">
        <f t="shared" si="2"/>
        <v>enero</v>
      </c>
      <c r="J585" s="76">
        <f t="shared" si="3"/>
        <v>2026</v>
      </c>
    </row>
    <row r="586" ht="22.5" customHeight="1">
      <c r="A586" s="69">
        <v>46054.0</v>
      </c>
      <c r="B586" s="70" t="s">
        <v>46</v>
      </c>
      <c r="C586" s="70" t="s">
        <v>148</v>
      </c>
      <c r="D586" s="70" t="s">
        <v>250</v>
      </c>
      <c r="E586" s="84">
        <f t="array" ref="E586">XLOOKUP($D586,concepto_salarios,monto_salarios,0)</f>
        <v>150</v>
      </c>
      <c r="F586" s="72">
        <v>0.0</v>
      </c>
      <c r="G586" s="74">
        <v>0.0</v>
      </c>
      <c r="H586" s="84">
        <f t="shared" si="1"/>
        <v>150</v>
      </c>
      <c r="I586" s="76" t="str">
        <f t="shared" si="2"/>
        <v>febrero</v>
      </c>
      <c r="J586" s="76">
        <f t="shared" si="3"/>
        <v>2026</v>
      </c>
    </row>
    <row r="587" ht="22.5" customHeight="1">
      <c r="A587" s="69">
        <v>46054.0</v>
      </c>
      <c r="B587" s="70" t="s">
        <v>46</v>
      </c>
      <c r="C587" s="70" t="s">
        <v>142</v>
      </c>
      <c r="D587" s="70" t="s">
        <v>223</v>
      </c>
      <c r="E587" s="84">
        <f t="array" ref="E587">XLOOKUP($D587,concepto_salarios,monto_salarios,0)</f>
        <v>100</v>
      </c>
      <c r="F587" s="72">
        <v>0.0</v>
      </c>
      <c r="G587" s="74">
        <v>0.0</v>
      </c>
      <c r="H587" s="84">
        <f t="shared" si="1"/>
        <v>100</v>
      </c>
      <c r="I587" s="76" t="str">
        <f t="shared" si="2"/>
        <v>febrero</v>
      </c>
      <c r="J587" s="76">
        <f t="shared" si="3"/>
        <v>2026</v>
      </c>
    </row>
    <row r="588" ht="22.5" customHeight="1">
      <c r="A588" s="69">
        <v>46054.0</v>
      </c>
      <c r="B588" s="70" t="s">
        <v>46</v>
      </c>
      <c r="C588" s="70" t="s">
        <v>142</v>
      </c>
      <c r="D588" s="70" t="s">
        <v>248</v>
      </c>
      <c r="E588" s="84">
        <f t="array" ref="E588">XLOOKUP($D588,concepto_salarios,monto_salarios,0)</f>
        <v>100</v>
      </c>
      <c r="F588" s="72">
        <v>0.0</v>
      </c>
      <c r="G588" s="74">
        <v>0.0</v>
      </c>
      <c r="H588" s="84">
        <f t="shared" si="1"/>
        <v>100</v>
      </c>
      <c r="I588" s="76" t="str">
        <f t="shared" si="2"/>
        <v>febrero</v>
      </c>
      <c r="J588" s="76">
        <f t="shared" si="3"/>
        <v>2026</v>
      </c>
    </row>
    <row r="589" ht="22.5" customHeight="1">
      <c r="A589" s="69">
        <v>46054.0</v>
      </c>
      <c r="B589" s="70" t="s">
        <v>51</v>
      </c>
      <c r="C589" s="70" t="s">
        <v>142</v>
      </c>
      <c r="D589" s="70" t="s">
        <v>174</v>
      </c>
      <c r="E589" s="84">
        <f t="array" ref="E589">XLOOKUP($D589,concepto_salarios,monto_salarios,0)</f>
        <v>810</v>
      </c>
      <c r="F589" s="72">
        <v>0.0</v>
      </c>
      <c r="G589" s="74">
        <v>0.0</v>
      </c>
      <c r="H589" s="84">
        <f t="shared" si="1"/>
        <v>810</v>
      </c>
      <c r="I589" s="76" t="str">
        <f t="shared" si="2"/>
        <v>febrero</v>
      </c>
      <c r="J589" s="76">
        <f t="shared" si="3"/>
        <v>2026</v>
      </c>
    </row>
    <row r="590" ht="22.5" customHeight="1">
      <c r="A590" s="69">
        <v>46054.0</v>
      </c>
      <c r="B590" s="70" t="s">
        <v>51</v>
      </c>
      <c r="C590" s="70" t="s">
        <v>142</v>
      </c>
      <c r="D590" s="70" t="s">
        <v>248</v>
      </c>
      <c r="E590" s="84">
        <f t="array" ref="E590">XLOOKUP($D590,concepto_salarios,monto_salarios,0)</f>
        <v>100</v>
      </c>
      <c r="F590" s="72">
        <v>0.0</v>
      </c>
      <c r="G590" s="74">
        <v>0.0</v>
      </c>
      <c r="H590" s="84">
        <f t="shared" si="1"/>
        <v>100</v>
      </c>
      <c r="I590" s="76" t="str">
        <f t="shared" si="2"/>
        <v>febrero</v>
      </c>
      <c r="J590" s="76">
        <f t="shared" si="3"/>
        <v>2026</v>
      </c>
    </row>
    <row r="591" ht="22.5" customHeight="1">
      <c r="A591" s="69">
        <v>46054.0</v>
      </c>
      <c r="B591" s="70" t="s">
        <v>41</v>
      </c>
      <c r="C591" s="70" t="s">
        <v>143</v>
      </c>
      <c r="D591" s="70" t="s">
        <v>184</v>
      </c>
      <c r="E591" s="84">
        <f t="array" ref="E591">XLOOKUP($D591,concepto_salarios,monto_salarios,0)</f>
        <v>120</v>
      </c>
      <c r="F591" s="72">
        <v>0.0</v>
      </c>
      <c r="G591" s="74">
        <v>0.0</v>
      </c>
      <c r="H591" s="84">
        <f t="shared" si="1"/>
        <v>120</v>
      </c>
      <c r="I591" s="76" t="str">
        <f t="shared" si="2"/>
        <v>febrero</v>
      </c>
      <c r="J591" s="76">
        <f t="shared" si="3"/>
        <v>2026</v>
      </c>
    </row>
    <row r="592" ht="22.5" customHeight="1">
      <c r="A592" s="69">
        <v>46054.0</v>
      </c>
      <c r="B592" s="70" t="s">
        <v>41</v>
      </c>
      <c r="C592" s="70" t="s">
        <v>143</v>
      </c>
      <c r="D592" s="70" t="s">
        <v>179</v>
      </c>
      <c r="E592" s="84">
        <f t="array" ref="E592">XLOOKUP($D592,concepto_salarios,monto_salarios,0)</f>
        <v>50</v>
      </c>
      <c r="F592" s="72">
        <v>0.0</v>
      </c>
      <c r="G592" s="74">
        <v>0.0</v>
      </c>
      <c r="H592" s="84">
        <f t="shared" si="1"/>
        <v>50</v>
      </c>
      <c r="I592" s="76" t="str">
        <f t="shared" si="2"/>
        <v>febrero</v>
      </c>
      <c r="J592" s="76">
        <f t="shared" si="3"/>
        <v>2026</v>
      </c>
    </row>
    <row r="593" ht="22.5" customHeight="1">
      <c r="A593" s="69">
        <v>46054.0</v>
      </c>
      <c r="B593" s="70" t="s">
        <v>41</v>
      </c>
      <c r="C593" s="70" t="s">
        <v>140</v>
      </c>
      <c r="D593" s="70" t="s">
        <v>146</v>
      </c>
      <c r="E593" s="84">
        <f t="array" ref="E593">XLOOKUP($D593,concepto_salarios,monto_salarios,0)</f>
        <v>450</v>
      </c>
      <c r="F593" s="72">
        <v>0.0</v>
      </c>
      <c r="G593" s="74">
        <v>0.0</v>
      </c>
      <c r="H593" s="84">
        <f t="shared" si="1"/>
        <v>450</v>
      </c>
      <c r="I593" s="76" t="str">
        <f t="shared" si="2"/>
        <v>febrero</v>
      </c>
      <c r="J593" s="76">
        <f t="shared" si="3"/>
        <v>2026</v>
      </c>
    </row>
    <row r="594" ht="22.5" customHeight="1">
      <c r="A594" s="69">
        <v>46054.0</v>
      </c>
      <c r="B594" s="70" t="s">
        <v>41</v>
      </c>
      <c r="C594" s="70" t="s">
        <v>142</v>
      </c>
      <c r="D594" s="70" t="s">
        <v>248</v>
      </c>
      <c r="E594" s="84">
        <f t="array" ref="E594">XLOOKUP($D594,concepto_salarios,monto_salarios,0)</f>
        <v>100</v>
      </c>
      <c r="F594" s="72">
        <v>0.0</v>
      </c>
      <c r="G594" s="74">
        <v>0.0</v>
      </c>
      <c r="H594" s="84">
        <f t="shared" si="1"/>
        <v>100</v>
      </c>
      <c r="I594" s="76" t="str">
        <f t="shared" si="2"/>
        <v>febrero</v>
      </c>
      <c r="J594" s="76">
        <f t="shared" si="3"/>
        <v>2026</v>
      </c>
    </row>
    <row r="595" ht="22.5" customHeight="1">
      <c r="A595" s="69">
        <v>46054.0</v>
      </c>
      <c r="B595" s="70" t="s">
        <v>41</v>
      </c>
      <c r="C595" s="70" t="s">
        <v>148</v>
      </c>
      <c r="D595" s="70" t="s">
        <v>251</v>
      </c>
      <c r="E595" s="84">
        <f t="array" ref="E595">XLOOKUP($D595,concepto_salarios,monto_salarios,0)</f>
        <v>150</v>
      </c>
      <c r="F595" s="72">
        <v>0.0</v>
      </c>
      <c r="G595" s="74">
        <v>0.0</v>
      </c>
      <c r="H595" s="84">
        <f t="shared" si="1"/>
        <v>150</v>
      </c>
      <c r="I595" s="76" t="str">
        <f t="shared" si="2"/>
        <v>febrero</v>
      </c>
      <c r="J595" s="76">
        <f t="shared" si="3"/>
        <v>2026</v>
      </c>
    </row>
    <row r="596" ht="22.5" customHeight="1">
      <c r="A596" s="69">
        <v>46054.0</v>
      </c>
      <c r="B596" s="70" t="s">
        <v>73</v>
      </c>
      <c r="C596" s="70" t="s">
        <v>148</v>
      </c>
      <c r="D596" s="70" t="s">
        <v>252</v>
      </c>
      <c r="E596" s="84">
        <f t="array" ref="E596">XLOOKUP($D596,concepto_salarios,monto_salarios,0)</f>
        <v>400</v>
      </c>
      <c r="F596" s="72">
        <v>100.0</v>
      </c>
      <c r="G596" s="74">
        <v>0.0</v>
      </c>
      <c r="H596" s="84">
        <f t="shared" si="1"/>
        <v>300</v>
      </c>
      <c r="I596" s="76" t="str">
        <f t="shared" si="2"/>
        <v>febrero</v>
      </c>
      <c r="J596" s="76">
        <f t="shared" si="3"/>
        <v>2026</v>
      </c>
    </row>
    <row r="597" ht="22.5" customHeight="1">
      <c r="A597" s="69">
        <v>46054.0</v>
      </c>
      <c r="B597" s="70" t="s">
        <v>73</v>
      </c>
      <c r="C597" s="70" t="s">
        <v>140</v>
      </c>
      <c r="D597" s="70" t="s">
        <v>141</v>
      </c>
      <c r="E597" s="84">
        <f t="array" ref="E597">XLOOKUP($D597,concepto_salarios,monto_salarios,0)</f>
        <v>250</v>
      </c>
      <c r="F597" s="72">
        <v>0.0</v>
      </c>
      <c r="G597" s="74">
        <v>0.0</v>
      </c>
      <c r="H597" s="84">
        <f t="shared" si="1"/>
        <v>250</v>
      </c>
      <c r="I597" s="76" t="str">
        <f t="shared" si="2"/>
        <v>febrero</v>
      </c>
      <c r="J597" s="76">
        <f t="shared" si="3"/>
        <v>2026</v>
      </c>
    </row>
    <row r="598" ht="22.5" customHeight="1">
      <c r="A598" s="69">
        <v>46054.0</v>
      </c>
      <c r="B598" s="70" t="s">
        <v>73</v>
      </c>
      <c r="C598" s="70" t="s">
        <v>143</v>
      </c>
      <c r="D598" s="70" t="s">
        <v>231</v>
      </c>
      <c r="E598" s="84">
        <f t="array" ref="E598">XLOOKUP($D598,concepto_salarios,monto_salarios,0)</f>
        <v>50</v>
      </c>
      <c r="F598" s="72">
        <v>0.0</v>
      </c>
      <c r="G598" s="74">
        <v>0.0</v>
      </c>
      <c r="H598" s="84">
        <f t="shared" si="1"/>
        <v>50</v>
      </c>
      <c r="I598" s="76" t="str">
        <f t="shared" si="2"/>
        <v>febrero</v>
      </c>
      <c r="J598" s="76">
        <f t="shared" si="3"/>
        <v>2026</v>
      </c>
    </row>
    <row r="599" ht="22.5" customHeight="1">
      <c r="A599" s="69">
        <v>46054.0</v>
      </c>
      <c r="B599" s="70" t="s">
        <v>70</v>
      </c>
      <c r="C599" s="70" t="s">
        <v>143</v>
      </c>
      <c r="D599" s="70" t="s">
        <v>184</v>
      </c>
      <c r="E599" s="84">
        <f t="array" ref="E599">XLOOKUP($D599,concepto_salarios,monto_salarios,0)</f>
        <v>120</v>
      </c>
      <c r="F599" s="72">
        <v>0.0</v>
      </c>
      <c r="G599" s="74">
        <v>0.0</v>
      </c>
      <c r="H599" s="84">
        <f t="shared" si="1"/>
        <v>120</v>
      </c>
      <c r="I599" s="76" t="str">
        <f t="shared" si="2"/>
        <v>febrero</v>
      </c>
      <c r="J599" s="76">
        <f t="shared" si="3"/>
        <v>2026</v>
      </c>
    </row>
    <row r="600" ht="22.5" customHeight="1">
      <c r="A600" s="69">
        <v>46054.0</v>
      </c>
      <c r="B600" s="70" t="s">
        <v>70</v>
      </c>
      <c r="C600" s="70" t="s">
        <v>143</v>
      </c>
      <c r="D600" s="70" t="s">
        <v>179</v>
      </c>
      <c r="E600" s="84">
        <f t="array" ref="E600">XLOOKUP($D600,concepto_salarios,monto_salarios,0)</f>
        <v>50</v>
      </c>
      <c r="F600" s="72">
        <v>0.0</v>
      </c>
      <c r="G600" s="74">
        <v>0.0</v>
      </c>
      <c r="H600" s="84">
        <f t="shared" si="1"/>
        <v>50</v>
      </c>
      <c r="I600" s="76" t="str">
        <f t="shared" si="2"/>
        <v>febrero</v>
      </c>
      <c r="J600" s="76">
        <f t="shared" si="3"/>
        <v>2026</v>
      </c>
    </row>
    <row r="601" ht="22.5" customHeight="1">
      <c r="A601" s="69">
        <v>46054.0</v>
      </c>
      <c r="B601" s="70" t="s">
        <v>70</v>
      </c>
      <c r="C601" s="70" t="s">
        <v>140</v>
      </c>
      <c r="D601" s="70" t="s">
        <v>146</v>
      </c>
      <c r="E601" s="84">
        <f t="array" ref="E601">XLOOKUP($D601,concepto_salarios,monto_salarios,0)</f>
        <v>450</v>
      </c>
      <c r="F601" s="72">
        <v>0.0</v>
      </c>
      <c r="G601" s="74">
        <v>0.0</v>
      </c>
      <c r="H601" s="84">
        <f t="shared" si="1"/>
        <v>450</v>
      </c>
      <c r="I601" s="76" t="str">
        <f t="shared" si="2"/>
        <v>febrero</v>
      </c>
      <c r="J601" s="76">
        <f t="shared" si="3"/>
        <v>2026</v>
      </c>
    </row>
    <row r="602" ht="22.5" customHeight="1">
      <c r="A602" s="69">
        <v>46054.0</v>
      </c>
      <c r="B602" s="70" t="s">
        <v>70</v>
      </c>
      <c r="C602" s="70" t="s">
        <v>142</v>
      </c>
      <c r="D602" s="70" t="s">
        <v>248</v>
      </c>
      <c r="E602" s="84">
        <f t="array" ref="E602">XLOOKUP($D602,concepto_salarios,monto_salarios,0)</f>
        <v>100</v>
      </c>
      <c r="F602" s="72">
        <v>0.0</v>
      </c>
      <c r="G602" s="74">
        <v>0.0</v>
      </c>
      <c r="H602" s="84">
        <f t="shared" si="1"/>
        <v>100</v>
      </c>
      <c r="I602" s="76" t="str">
        <f t="shared" si="2"/>
        <v>febrero</v>
      </c>
      <c r="J602" s="76">
        <f t="shared" si="3"/>
        <v>2026</v>
      </c>
    </row>
    <row r="603" ht="22.5" customHeight="1">
      <c r="A603" s="69">
        <v>46054.0</v>
      </c>
      <c r="B603" s="70" t="s">
        <v>70</v>
      </c>
      <c r="C603" s="70" t="s">
        <v>148</v>
      </c>
      <c r="D603" s="70" t="s">
        <v>251</v>
      </c>
      <c r="E603" s="84">
        <f t="array" ref="E603">XLOOKUP($D603,concepto_salarios,monto_salarios,0)</f>
        <v>150</v>
      </c>
      <c r="F603" s="72">
        <v>0.0</v>
      </c>
      <c r="G603" s="74">
        <v>0.0</v>
      </c>
      <c r="H603" s="84">
        <f t="shared" si="1"/>
        <v>150</v>
      </c>
      <c r="I603" s="76" t="str">
        <f t="shared" si="2"/>
        <v>febrero</v>
      </c>
      <c r="J603" s="76">
        <f t="shared" si="3"/>
        <v>2026</v>
      </c>
    </row>
    <row r="604" ht="22.5" customHeight="1">
      <c r="A604" s="69">
        <v>46054.0</v>
      </c>
      <c r="B604" s="70" t="s">
        <v>81</v>
      </c>
      <c r="C604" s="70" t="s">
        <v>148</v>
      </c>
      <c r="D604" s="70" t="s">
        <v>252</v>
      </c>
      <c r="E604" s="84">
        <f t="array" ref="E604">XLOOKUP($D604,concepto_salarios,monto_salarios,0)</f>
        <v>400</v>
      </c>
      <c r="F604" s="72">
        <v>100.0</v>
      </c>
      <c r="G604" s="74">
        <v>0.0</v>
      </c>
      <c r="H604" s="84">
        <f t="shared" si="1"/>
        <v>300</v>
      </c>
      <c r="I604" s="76" t="str">
        <f t="shared" si="2"/>
        <v>febrero</v>
      </c>
      <c r="J604" s="76">
        <f t="shared" si="3"/>
        <v>2026</v>
      </c>
    </row>
    <row r="605" ht="22.5" customHeight="1">
      <c r="A605" s="69">
        <v>46054.0</v>
      </c>
      <c r="B605" s="70" t="s">
        <v>81</v>
      </c>
      <c r="C605" s="70" t="s">
        <v>140</v>
      </c>
      <c r="D605" s="70" t="s">
        <v>141</v>
      </c>
      <c r="E605" s="84">
        <f t="array" ref="E605">XLOOKUP($D605,concepto_salarios,monto_salarios,0)</f>
        <v>250</v>
      </c>
      <c r="F605" s="72">
        <v>0.0</v>
      </c>
      <c r="G605" s="74">
        <v>0.0</v>
      </c>
      <c r="H605" s="84">
        <f t="shared" si="1"/>
        <v>250</v>
      </c>
      <c r="I605" s="76" t="str">
        <f t="shared" si="2"/>
        <v>febrero</v>
      </c>
      <c r="J605" s="76">
        <f t="shared" si="3"/>
        <v>2026</v>
      </c>
    </row>
    <row r="606" ht="22.5" customHeight="1">
      <c r="A606" s="69">
        <v>46054.0</v>
      </c>
      <c r="B606" s="70" t="s">
        <v>81</v>
      </c>
      <c r="C606" s="70" t="s">
        <v>143</v>
      </c>
      <c r="D606" s="70" t="s">
        <v>231</v>
      </c>
      <c r="E606" s="84">
        <f t="array" ref="E606">XLOOKUP($D606,concepto_salarios,monto_salarios,0)</f>
        <v>50</v>
      </c>
      <c r="F606" s="72">
        <v>0.0</v>
      </c>
      <c r="G606" s="74">
        <v>0.0</v>
      </c>
      <c r="H606" s="84">
        <f t="shared" si="1"/>
        <v>50</v>
      </c>
      <c r="I606" s="76" t="str">
        <f t="shared" si="2"/>
        <v>febrero</v>
      </c>
      <c r="J606" s="76">
        <f t="shared" si="3"/>
        <v>2026</v>
      </c>
    </row>
    <row r="607" ht="22.5" customHeight="1">
      <c r="A607" s="69">
        <v>46054.0</v>
      </c>
      <c r="B607" s="70" t="s">
        <v>66</v>
      </c>
      <c r="C607" s="70" t="s">
        <v>142</v>
      </c>
      <c r="D607" s="70" t="s">
        <v>175</v>
      </c>
      <c r="E607" s="84">
        <f t="array" ref="E607">XLOOKUP($D607,concepto_salarios,monto_salarios,0)</f>
        <v>690</v>
      </c>
      <c r="F607" s="72">
        <v>0.0</v>
      </c>
      <c r="G607" s="74">
        <v>0.0</v>
      </c>
      <c r="H607" s="84">
        <f t="shared" si="1"/>
        <v>690</v>
      </c>
      <c r="I607" s="76" t="str">
        <f t="shared" si="2"/>
        <v>febrero</v>
      </c>
      <c r="J607" s="76">
        <f t="shared" si="3"/>
        <v>2026</v>
      </c>
    </row>
    <row r="608" ht="22.5" customHeight="1">
      <c r="A608" s="69">
        <v>46054.0</v>
      </c>
      <c r="B608" s="70" t="s">
        <v>56</v>
      </c>
      <c r="C608" s="70" t="s">
        <v>148</v>
      </c>
      <c r="D608" s="70" t="s">
        <v>250</v>
      </c>
      <c r="E608" s="84">
        <f t="array" ref="E608">XLOOKUP($D608,concepto_salarios,monto_salarios,0)</f>
        <v>150</v>
      </c>
      <c r="F608" s="72">
        <v>0.0</v>
      </c>
      <c r="G608" s="74">
        <v>0.0</v>
      </c>
      <c r="H608" s="84">
        <f t="shared" si="1"/>
        <v>150</v>
      </c>
      <c r="I608" s="76" t="str">
        <f t="shared" si="2"/>
        <v>febrero</v>
      </c>
      <c r="J608" s="76">
        <f t="shared" si="3"/>
        <v>2026</v>
      </c>
    </row>
    <row r="609" ht="22.5" customHeight="1">
      <c r="A609" s="69">
        <v>46054.0</v>
      </c>
      <c r="B609" s="70" t="s">
        <v>56</v>
      </c>
      <c r="C609" s="70" t="s">
        <v>142</v>
      </c>
      <c r="D609" s="70" t="s">
        <v>223</v>
      </c>
      <c r="E609" s="84">
        <f t="array" ref="E609">XLOOKUP($D609,concepto_salarios,monto_salarios,0)</f>
        <v>100</v>
      </c>
      <c r="F609" s="72">
        <v>0.0</v>
      </c>
      <c r="G609" s="74">
        <v>0.0</v>
      </c>
      <c r="H609" s="84">
        <f t="shared" si="1"/>
        <v>100</v>
      </c>
      <c r="I609" s="76" t="str">
        <f t="shared" si="2"/>
        <v>febrero</v>
      </c>
      <c r="J609" s="76">
        <f t="shared" si="3"/>
        <v>2026</v>
      </c>
    </row>
    <row r="610" ht="22.5" customHeight="1">
      <c r="A610" s="69">
        <v>46054.0</v>
      </c>
      <c r="B610" s="70" t="s">
        <v>56</v>
      </c>
      <c r="C610" s="70" t="s">
        <v>142</v>
      </c>
      <c r="D610" s="70" t="s">
        <v>248</v>
      </c>
      <c r="E610" s="84">
        <f t="array" ref="E610">XLOOKUP($D610,concepto_salarios,monto_salarios,0)</f>
        <v>100</v>
      </c>
      <c r="F610" s="72">
        <v>0.0</v>
      </c>
      <c r="G610" s="74">
        <v>0.0</v>
      </c>
      <c r="H610" s="84">
        <f t="shared" si="1"/>
        <v>100</v>
      </c>
      <c r="I610" s="76" t="str">
        <f t="shared" si="2"/>
        <v>febrero</v>
      </c>
      <c r="J610" s="76">
        <f t="shared" si="3"/>
        <v>2026</v>
      </c>
    </row>
    <row r="611" ht="22.5" customHeight="1">
      <c r="A611" s="69">
        <v>46060.0</v>
      </c>
      <c r="B611" s="70" t="s">
        <v>51</v>
      </c>
      <c r="C611" s="70" t="s">
        <v>142</v>
      </c>
      <c r="D611" s="70" t="s">
        <v>200</v>
      </c>
      <c r="E611" s="84">
        <f t="array" ref="E611">XLOOKUP($D611,concepto_salarios,monto_salarios,0)</f>
        <v>990</v>
      </c>
      <c r="F611" s="72">
        <v>0.0</v>
      </c>
      <c r="G611" s="74">
        <v>0.0</v>
      </c>
      <c r="H611" s="84">
        <f t="shared" si="1"/>
        <v>990</v>
      </c>
      <c r="I611" s="76" t="str">
        <f t="shared" si="2"/>
        <v>febrero</v>
      </c>
      <c r="J611" s="76">
        <f t="shared" si="3"/>
        <v>2026</v>
      </c>
    </row>
    <row r="612" ht="22.5" customHeight="1">
      <c r="A612" s="69">
        <v>46060.0</v>
      </c>
      <c r="B612" s="70" t="s">
        <v>73</v>
      </c>
      <c r="C612" s="70" t="s">
        <v>148</v>
      </c>
      <c r="D612" s="70" t="s">
        <v>253</v>
      </c>
      <c r="E612" s="84">
        <f t="array" ref="E612">XLOOKUP($D612,concepto_salarios,monto_salarios,0)</f>
        <v>225</v>
      </c>
      <c r="F612" s="72">
        <v>0.0</v>
      </c>
      <c r="G612" s="74">
        <v>0.0</v>
      </c>
      <c r="H612" s="84">
        <f t="shared" si="1"/>
        <v>225</v>
      </c>
      <c r="I612" s="76" t="str">
        <f t="shared" si="2"/>
        <v>febrero</v>
      </c>
      <c r="J612" s="76">
        <f t="shared" si="3"/>
        <v>2026</v>
      </c>
    </row>
    <row r="613" ht="22.5" customHeight="1">
      <c r="A613" s="69">
        <v>46060.0</v>
      </c>
      <c r="B613" s="70" t="s">
        <v>73</v>
      </c>
      <c r="C613" s="70" t="s">
        <v>143</v>
      </c>
      <c r="D613" s="70" t="s">
        <v>170</v>
      </c>
      <c r="E613" s="84">
        <f t="array" ref="E613">XLOOKUP($D613,concepto_salarios,monto_salarios,0)</f>
        <v>150</v>
      </c>
      <c r="F613" s="72">
        <v>0.0</v>
      </c>
      <c r="G613" s="74">
        <v>0.0</v>
      </c>
      <c r="H613" s="84">
        <f t="shared" si="1"/>
        <v>150</v>
      </c>
      <c r="I613" s="76" t="str">
        <f t="shared" si="2"/>
        <v>febrero</v>
      </c>
      <c r="J613" s="76">
        <f t="shared" si="3"/>
        <v>2026</v>
      </c>
    </row>
    <row r="614" ht="22.5" customHeight="1">
      <c r="A614" s="69">
        <v>46060.0</v>
      </c>
      <c r="B614" s="70" t="s">
        <v>73</v>
      </c>
      <c r="C614" s="70" t="s">
        <v>143</v>
      </c>
      <c r="D614" s="70" t="s">
        <v>167</v>
      </c>
      <c r="E614" s="84">
        <f t="array" ref="E614">XLOOKUP($D614,concepto_salarios,monto_salarios,0)</f>
        <v>100</v>
      </c>
      <c r="F614" s="72">
        <v>0.0</v>
      </c>
      <c r="G614" s="74">
        <v>0.0</v>
      </c>
      <c r="H614" s="84">
        <f t="shared" si="1"/>
        <v>100</v>
      </c>
      <c r="I614" s="76" t="str">
        <f t="shared" si="2"/>
        <v>febrero</v>
      </c>
      <c r="J614" s="76">
        <f t="shared" si="3"/>
        <v>2026</v>
      </c>
    </row>
    <row r="615" ht="22.5" customHeight="1">
      <c r="A615" s="69">
        <v>46060.0</v>
      </c>
      <c r="B615" s="70" t="s">
        <v>73</v>
      </c>
      <c r="C615" s="70" t="s">
        <v>143</v>
      </c>
      <c r="D615" s="70" t="s">
        <v>218</v>
      </c>
      <c r="E615" s="84">
        <f t="array" ref="E615">XLOOKUP($D615,concepto_salarios,monto_salarios,0)</f>
        <v>100</v>
      </c>
      <c r="F615" s="72">
        <v>0.0</v>
      </c>
      <c r="G615" s="74">
        <v>0.0</v>
      </c>
      <c r="H615" s="84">
        <f t="shared" si="1"/>
        <v>100</v>
      </c>
      <c r="I615" s="76" t="str">
        <f t="shared" si="2"/>
        <v>febrero</v>
      </c>
      <c r="J615" s="76">
        <f t="shared" si="3"/>
        <v>2026</v>
      </c>
    </row>
    <row r="616" ht="22.5" customHeight="1">
      <c r="A616" s="69">
        <v>46060.0</v>
      </c>
      <c r="B616" s="70" t="s">
        <v>73</v>
      </c>
      <c r="C616" s="70" t="s">
        <v>143</v>
      </c>
      <c r="D616" s="70" t="s">
        <v>197</v>
      </c>
      <c r="E616" s="84">
        <f t="array" ref="E616">XLOOKUP($D616,concepto_salarios,monto_salarios,0)</f>
        <v>100</v>
      </c>
      <c r="F616" s="72">
        <v>0.0</v>
      </c>
      <c r="G616" s="74">
        <v>0.0</v>
      </c>
      <c r="H616" s="84">
        <f t="shared" si="1"/>
        <v>100</v>
      </c>
      <c r="I616" s="76" t="str">
        <f t="shared" si="2"/>
        <v>febrero</v>
      </c>
      <c r="J616" s="76">
        <f t="shared" si="3"/>
        <v>2026</v>
      </c>
    </row>
    <row r="617" ht="22.5" customHeight="1">
      <c r="A617" s="69">
        <v>46060.0</v>
      </c>
      <c r="B617" s="70" t="s">
        <v>73</v>
      </c>
      <c r="C617" s="70" t="s">
        <v>143</v>
      </c>
      <c r="D617" s="70" t="s">
        <v>184</v>
      </c>
      <c r="E617" s="84">
        <f t="array" ref="E617">XLOOKUP($D617,concepto_salarios,monto_salarios,0)</f>
        <v>120</v>
      </c>
      <c r="F617" s="72">
        <v>0.0</v>
      </c>
      <c r="G617" s="74">
        <v>0.0</v>
      </c>
      <c r="H617" s="84">
        <f t="shared" si="1"/>
        <v>120</v>
      </c>
      <c r="I617" s="76" t="str">
        <f t="shared" si="2"/>
        <v>febrero</v>
      </c>
      <c r="J617" s="76">
        <f t="shared" si="3"/>
        <v>2026</v>
      </c>
    </row>
    <row r="618" ht="22.5" customHeight="1">
      <c r="A618" s="69">
        <v>46060.0</v>
      </c>
      <c r="B618" s="70" t="s">
        <v>73</v>
      </c>
      <c r="C618" s="70" t="s">
        <v>143</v>
      </c>
      <c r="D618" s="70" t="s">
        <v>165</v>
      </c>
      <c r="E618" s="84">
        <f t="array" ref="E618">XLOOKUP($D618,concepto_salarios,monto_salarios,0)</f>
        <v>90</v>
      </c>
      <c r="F618" s="72">
        <v>0.0</v>
      </c>
      <c r="G618" s="74">
        <v>0.0</v>
      </c>
      <c r="H618" s="84">
        <f t="shared" si="1"/>
        <v>90</v>
      </c>
      <c r="I618" s="76" t="str">
        <f t="shared" si="2"/>
        <v>febrero</v>
      </c>
      <c r="J618" s="76">
        <f t="shared" si="3"/>
        <v>2026</v>
      </c>
    </row>
    <row r="619" ht="22.5" customHeight="1">
      <c r="A619" s="69">
        <v>46060.0</v>
      </c>
      <c r="B619" s="70" t="s">
        <v>73</v>
      </c>
      <c r="C619" s="70" t="s">
        <v>140</v>
      </c>
      <c r="D619" s="70" t="s">
        <v>145</v>
      </c>
      <c r="E619" s="84">
        <f t="array" ref="E619">XLOOKUP($D619,concepto_salarios,monto_salarios,0)</f>
        <v>350</v>
      </c>
      <c r="F619" s="72">
        <v>0.0</v>
      </c>
      <c r="G619" s="74">
        <v>0.0</v>
      </c>
      <c r="H619" s="84">
        <f t="shared" si="1"/>
        <v>350</v>
      </c>
      <c r="I619" s="76" t="str">
        <f t="shared" si="2"/>
        <v>febrero</v>
      </c>
      <c r="J619" s="76">
        <f t="shared" si="3"/>
        <v>2026</v>
      </c>
    </row>
    <row r="620" ht="22.5" customHeight="1">
      <c r="A620" s="69">
        <v>46060.0</v>
      </c>
      <c r="B620" s="70" t="s">
        <v>70</v>
      </c>
      <c r="C620" s="70" t="s">
        <v>148</v>
      </c>
      <c r="D620" s="70" t="s">
        <v>253</v>
      </c>
      <c r="E620" s="84">
        <f t="array" ref="E620">XLOOKUP($D620,concepto_salarios,monto_salarios,0)</f>
        <v>225</v>
      </c>
      <c r="F620" s="72">
        <v>0.0</v>
      </c>
      <c r="G620" s="74">
        <v>0.0</v>
      </c>
      <c r="H620" s="84">
        <f t="shared" si="1"/>
        <v>225</v>
      </c>
      <c r="I620" s="76" t="str">
        <f t="shared" si="2"/>
        <v>febrero</v>
      </c>
      <c r="J620" s="76">
        <f t="shared" si="3"/>
        <v>2026</v>
      </c>
    </row>
    <row r="621" ht="22.5" customHeight="1">
      <c r="A621" s="69">
        <v>46060.0</v>
      </c>
      <c r="B621" s="70" t="s">
        <v>70</v>
      </c>
      <c r="C621" s="70" t="s">
        <v>143</v>
      </c>
      <c r="D621" s="70" t="s">
        <v>170</v>
      </c>
      <c r="E621" s="84">
        <f t="array" ref="E621">XLOOKUP($D621,concepto_salarios,monto_salarios,0)</f>
        <v>150</v>
      </c>
      <c r="F621" s="72">
        <v>0.0</v>
      </c>
      <c r="G621" s="74">
        <v>0.0</v>
      </c>
      <c r="H621" s="84">
        <f t="shared" si="1"/>
        <v>150</v>
      </c>
      <c r="I621" s="76" t="str">
        <f t="shared" si="2"/>
        <v>febrero</v>
      </c>
      <c r="J621" s="76">
        <f t="shared" si="3"/>
        <v>2026</v>
      </c>
    </row>
    <row r="622" ht="22.5" customHeight="1">
      <c r="A622" s="69">
        <v>46060.0</v>
      </c>
      <c r="B622" s="70" t="s">
        <v>70</v>
      </c>
      <c r="C622" s="70" t="s">
        <v>143</v>
      </c>
      <c r="D622" s="70" t="s">
        <v>167</v>
      </c>
      <c r="E622" s="84">
        <f t="array" ref="E622">XLOOKUP($D622,concepto_salarios,monto_salarios,0)</f>
        <v>100</v>
      </c>
      <c r="F622" s="72">
        <v>0.0</v>
      </c>
      <c r="G622" s="74">
        <v>0.0</v>
      </c>
      <c r="H622" s="84">
        <f t="shared" si="1"/>
        <v>100</v>
      </c>
      <c r="I622" s="76" t="str">
        <f t="shared" si="2"/>
        <v>febrero</v>
      </c>
      <c r="J622" s="76">
        <f t="shared" si="3"/>
        <v>2026</v>
      </c>
    </row>
    <row r="623" ht="22.5" customHeight="1">
      <c r="A623" s="69">
        <v>46060.0</v>
      </c>
      <c r="B623" s="70" t="s">
        <v>70</v>
      </c>
      <c r="C623" s="70" t="s">
        <v>143</v>
      </c>
      <c r="D623" s="70" t="s">
        <v>218</v>
      </c>
      <c r="E623" s="84">
        <f t="array" ref="E623">XLOOKUP($D623,concepto_salarios,monto_salarios,0)</f>
        <v>100</v>
      </c>
      <c r="F623" s="72">
        <v>0.0</v>
      </c>
      <c r="G623" s="74">
        <v>0.0</v>
      </c>
      <c r="H623" s="84">
        <f t="shared" si="1"/>
        <v>100</v>
      </c>
      <c r="I623" s="76" t="str">
        <f t="shared" si="2"/>
        <v>febrero</v>
      </c>
      <c r="J623" s="76">
        <f t="shared" si="3"/>
        <v>2026</v>
      </c>
    </row>
    <row r="624" ht="22.5" customHeight="1">
      <c r="A624" s="69">
        <v>46060.0</v>
      </c>
      <c r="B624" s="70" t="s">
        <v>70</v>
      </c>
      <c r="C624" s="70" t="s">
        <v>143</v>
      </c>
      <c r="D624" s="70" t="s">
        <v>197</v>
      </c>
      <c r="E624" s="84">
        <f t="array" ref="E624">XLOOKUP($D624,concepto_salarios,monto_salarios,0)</f>
        <v>100</v>
      </c>
      <c r="F624" s="72">
        <v>0.0</v>
      </c>
      <c r="G624" s="74">
        <v>0.0</v>
      </c>
      <c r="H624" s="84">
        <f t="shared" si="1"/>
        <v>100</v>
      </c>
      <c r="I624" s="76" t="str">
        <f t="shared" si="2"/>
        <v>febrero</v>
      </c>
      <c r="J624" s="76">
        <f t="shared" si="3"/>
        <v>2026</v>
      </c>
    </row>
    <row r="625" ht="22.5" customHeight="1">
      <c r="A625" s="69">
        <v>46060.0</v>
      </c>
      <c r="B625" s="70" t="s">
        <v>70</v>
      </c>
      <c r="C625" s="70" t="s">
        <v>143</v>
      </c>
      <c r="D625" s="70" t="s">
        <v>184</v>
      </c>
      <c r="E625" s="84">
        <f t="array" ref="E625">XLOOKUP($D625,concepto_salarios,monto_salarios,0)</f>
        <v>120</v>
      </c>
      <c r="F625" s="72">
        <v>0.0</v>
      </c>
      <c r="G625" s="74">
        <v>0.0</v>
      </c>
      <c r="H625" s="84">
        <f t="shared" si="1"/>
        <v>120</v>
      </c>
      <c r="I625" s="76" t="str">
        <f t="shared" si="2"/>
        <v>febrero</v>
      </c>
      <c r="J625" s="76">
        <f t="shared" si="3"/>
        <v>2026</v>
      </c>
    </row>
    <row r="626" ht="22.5" customHeight="1">
      <c r="A626" s="69">
        <v>46060.0</v>
      </c>
      <c r="B626" s="70" t="s">
        <v>70</v>
      </c>
      <c r="C626" s="70" t="s">
        <v>143</v>
      </c>
      <c r="D626" s="70" t="s">
        <v>165</v>
      </c>
      <c r="E626" s="84">
        <f t="array" ref="E626">XLOOKUP($D626,concepto_salarios,monto_salarios,0)</f>
        <v>90</v>
      </c>
      <c r="F626" s="72">
        <v>0.0</v>
      </c>
      <c r="G626" s="74">
        <v>0.0</v>
      </c>
      <c r="H626" s="84">
        <f t="shared" si="1"/>
        <v>90</v>
      </c>
      <c r="I626" s="76" t="str">
        <f t="shared" si="2"/>
        <v>febrero</v>
      </c>
      <c r="J626" s="76">
        <f t="shared" si="3"/>
        <v>2026</v>
      </c>
    </row>
    <row r="627" ht="22.5" customHeight="1">
      <c r="A627" s="69">
        <v>46060.0</v>
      </c>
      <c r="B627" s="70" t="s">
        <v>70</v>
      </c>
      <c r="C627" s="70" t="s">
        <v>140</v>
      </c>
      <c r="D627" s="70" t="s">
        <v>145</v>
      </c>
      <c r="E627" s="84">
        <f t="array" ref="E627">XLOOKUP($D627,concepto_salarios,monto_salarios,0)</f>
        <v>350</v>
      </c>
      <c r="F627" s="72">
        <v>0.0</v>
      </c>
      <c r="G627" s="74">
        <v>0.0</v>
      </c>
      <c r="H627" s="84">
        <f t="shared" si="1"/>
        <v>350</v>
      </c>
      <c r="I627" s="76" t="str">
        <f t="shared" si="2"/>
        <v>febrero</v>
      </c>
      <c r="J627" s="76">
        <f t="shared" si="3"/>
        <v>2026</v>
      </c>
    </row>
    <row r="628" ht="22.5" customHeight="1">
      <c r="A628" s="69">
        <v>46061.0</v>
      </c>
      <c r="B628" s="70" t="s">
        <v>51</v>
      </c>
      <c r="C628" s="70" t="s">
        <v>143</v>
      </c>
      <c r="D628" s="70" t="s">
        <v>241</v>
      </c>
      <c r="E628" s="84">
        <f t="array" ref="E628">XLOOKUP($D628,concepto_salarios,monto_salarios,0)</f>
        <v>60</v>
      </c>
      <c r="F628" s="72">
        <v>0.0</v>
      </c>
      <c r="G628" s="74">
        <v>0.0</v>
      </c>
      <c r="H628" s="84">
        <f t="shared" si="1"/>
        <v>60</v>
      </c>
      <c r="I628" s="76" t="str">
        <f t="shared" si="2"/>
        <v>febrero</v>
      </c>
      <c r="J628" s="76">
        <f t="shared" si="3"/>
        <v>2026</v>
      </c>
    </row>
    <row r="629" ht="22.5" customHeight="1">
      <c r="A629" s="69">
        <v>46061.0</v>
      </c>
      <c r="B629" s="70" t="s">
        <v>73</v>
      </c>
      <c r="C629" s="70" t="s">
        <v>143</v>
      </c>
      <c r="D629" s="70" t="s">
        <v>188</v>
      </c>
      <c r="E629" s="84">
        <f t="array" ref="E629">XLOOKUP($D629,concepto_salarios,monto_salarios,0)</f>
        <v>90</v>
      </c>
      <c r="F629" s="72">
        <v>0.0</v>
      </c>
      <c r="G629" s="74">
        <v>0.0</v>
      </c>
      <c r="H629" s="84">
        <f t="shared" si="1"/>
        <v>90</v>
      </c>
      <c r="I629" s="76" t="str">
        <f t="shared" si="2"/>
        <v>febrero</v>
      </c>
      <c r="J629" s="76">
        <f t="shared" si="3"/>
        <v>2026</v>
      </c>
    </row>
    <row r="630" ht="22.5" customHeight="1">
      <c r="A630" s="69">
        <v>46061.0</v>
      </c>
      <c r="B630" s="70" t="s">
        <v>73</v>
      </c>
      <c r="C630" s="70" t="s">
        <v>143</v>
      </c>
      <c r="D630" s="70" t="s">
        <v>178</v>
      </c>
      <c r="E630" s="84">
        <f t="array" ref="E630">XLOOKUP($D630,concepto_salarios,monto_salarios,0)</f>
        <v>60</v>
      </c>
      <c r="F630" s="72">
        <v>0.0</v>
      </c>
      <c r="G630" s="74">
        <v>0.0</v>
      </c>
      <c r="H630" s="84">
        <f t="shared" si="1"/>
        <v>60</v>
      </c>
      <c r="I630" s="76" t="str">
        <f t="shared" si="2"/>
        <v>febrero</v>
      </c>
      <c r="J630" s="76">
        <f t="shared" si="3"/>
        <v>2026</v>
      </c>
    </row>
    <row r="631" ht="22.5" customHeight="1">
      <c r="A631" s="69">
        <v>46061.0</v>
      </c>
      <c r="B631" s="70" t="s">
        <v>73</v>
      </c>
      <c r="C631" s="70" t="s">
        <v>140</v>
      </c>
      <c r="D631" s="70" t="s">
        <v>146</v>
      </c>
      <c r="E631" s="84">
        <f t="array" ref="E631">XLOOKUP($D631,concepto_salarios,monto_salarios,0)</f>
        <v>450</v>
      </c>
      <c r="F631" s="72">
        <v>0.0</v>
      </c>
      <c r="G631" s="74">
        <v>0.0</v>
      </c>
      <c r="H631" s="84">
        <f t="shared" si="1"/>
        <v>450</v>
      </c>
      <c r="I631" s="76" t="str">
        <f t="shared" si="2"/>
        <v>febrero</v>
      </c>
      <c r="J631" s="76">
        <f t="shared" si="3"/>
        <v>2026</v>
      </c>
    </row>
    <row r="632" ht="22.5" customHeight="1">
      <c r="A632" s="69">
        <v>46061.0</v>
      </c>
      <c r="B632" s="70" t="s">
        <v>70</v>
      </c>
      <c r="C632" s="70" t="s">
        <v>143</v>
      </c>
      <c r="D632" s="70" t="s">
        <v>188</v>
      </c>
      <c r="E632" s="84">
        <f t="array" ref="E632">XLOOKUP($D632,concepto_salarios,monto_salarios,0)</f>
        <v>90</v>
      </c>
      <c r="F632" s="72">
        <v>0.0</v>
      </c>
      <c r="G632" s="74">
        <v>0.0</v>
      </c>
      <c r="H632" s="84">
        <f t="shared" si="1"/>
        <v>90</v>
      </c>
      <c r="I632" s="76" t="str">
        <f t="shared" si="2"/>
        <v>febrero</v>
      </c>
      <c r="J632" s="76">
        <f t="shared" si="3"/>
        <v>2026</v>
      </c>
    </row>
    <row r="633" ht="22.5" customHeight="1">
      <c r="A633" s="69">
        <v>46061.0</v>
      </c>
      <c r="B633" s="70" t="s">
        <v>70</v>
      </c>
      <c r="C633" s="70" t="s">
        <v>143</v>
      </c>
      <c r="D633" s="70" t="s">
        <v>178</v>
      </c>
      <c r="E633" s="84">
        <f t="array" ref="E633">XLOOKUP($D633,concepto_salarios,monto_salarios,0)</f>
        <v>60</v>
      </c>
      <c r="F633" s="72">
        <v>0.0</v>
      </c>
      <c r="G633" s="74">
        <v>0.0</v>
      </c>
      <c r="H633" s="84">
        <f t="shared" si="1"/>
        <v>60</v>
      </c>
      <c r="I633" s="76" t="str">
        <f t="shared" si="2"/>
        <v>febrero</v>
      </c>
      <c r="J633" s="76">
        <f t="shared" si="3"/>
        <v>2026</v>
      </c>
    </row>
    <row r="634" ht="22.5" customHeight="1">
      <c r="A634" s="69">
        <v>46061.0</v>
      </c>
      <c r="B634" s="70" t="s">
        <v>70</v>
      </c>
      <c r="C634" s="70" t="s">
        <v>140</v>
      </c>
      <c r="D634" s="70" t="s">
        <v>146</v>
      </c>
      <c r="E634" s="84">
        <f t="array" ref="E634">XLOOKUP($D634,concepto_salarios,monto_salarios,0)</f>
        <v>450</v>
      </c>
      <c r="F634" s="72">
        <v>0.0</v>
      </c>
      <c r="G634" s="74">
        <v>0.0</v>
      </c>
      <c r="H634" s="84">
        <f t="shared" si="1"/>
        <v>450</v>
      </c>
      <c r="I634" s="76" t="str">
        <f t="shared" si="2"/>
        <v>febrero</v>
      </c>
      <c r="J634" s="76">
        <f t="shared" si="3"/>
        <v>2026</v>
      </c>
    </row>
    <row r="635" ht="22.5" customHeight="1">
      <c r="A635" s="69">
        <v>46061.0</v>
      </c>
      <c r="B635" s="70" t="s">
        <v>56</v>
      </c>
      <c r="C635" s="70" t="s">
        <v>143</v>
      </c>
      <c r="D635" s="70" t="s">
        <v>241</v>
      </c>
      <c r="E635" s="84">
        <f t="array" ref="E635">XLOOKUP($D635,concepto_salarios,monto_salarios,0)</f>
        <v>60</v>
      </c>
      <c r="F635" s="72">
        <v>0.0</v>
      </c>
      <c r="G635" s="74">
        <v>0.0</v>
      </c>
      <c r="H635" s="84">
        <f t="shared" si="1"/>
        <v>60</v>
      </c>
      <c r="I635" s="76" t="str">
        <f t="shared" si="2"/>
        <v>febrero</v>
      </c>
      <c r="J635" s="76">
        <f t="shared" si="3"/>
        <v>2026</v>
      </c>
    </row>
    <row r="636" ht="22.5" customHeight="1">
      <c r="A636" s="69">
        <v>46065.0</v>
      </c>
      <c r="B636" s="70" t="s">
        <v>73</v>
      </c>
      <c r="C636" s="70" t="s">
        <v>140</v>
      </c>
      <c r="D636" s="70" t="s">
        <v>141</v>
      </c>
      <c r="E636" s="84">
        <f t="array" ref="E636">XLOOKUP($D636,concepto_salarios,monto_salarios,0)</f>
        <v>250</v>
      </c>
      <c r="F636" s="72">
        <v>0.0</v>
      </c>
      <c r="G636" s="74">
        <v>0.0</v>
      </c>
      <c r="H636" s="84">
        <f t="shared" si="1"/>
        <v>250</v>
      </c>
      <c r="I636" s="76" t="str">
        <f t="shared" si="2"/>
        <v>febrero</v>
      </c>
      <c r="J636" s="76">
        <f t="shared" si="3"/>
        <v>2026</v>
      </c>
    </row>
    <row r="637" ht="22.5" customHeight="1">
      <c r="A637" s="69">
        <v>46065.0</v>
      </c>
      <c r="B637" s="70" t="s">
        <v>70</v>
      </c>
      <c r="C637" s="70" t="s">
        <v>140</v>
      </c>
      <c r="D637" s="70" t="s">
        <v>141</v>
      </c>
      <c r="E637" s="84">
        <f t="array" ref="E637">XLOOKUP($D637,concepto_salarios,monto_salarios,0)</f>
        <v>250</v>
      </c>
      <c r="F637" s="72">
        <v>0.0</v>
      </c>
      <c r="G637" s="74">
        <v>0.0</v>
      </c>
      <c r="H637" s="84">
        <f t="shared" si="1"/>
        <v>250</v>
      </c>
      <c r="I637" s="76" t="str">
        <f t="shared" si="2"/>
        <v>febrero</v>
      </c>
      <c r="J637" s="76">
        <f t="shared" si="3"/>
        <v>2026</v>
      </c>
    </row>
    <row r="638" ht="22.5" customHeight="1">
      <c r="A638" s="69">
        <v>46065.0</v>
      </c>
      <c r="B638" s="70" t="s">
        <v>73</v>
      </c>
      <c r="C638" s="70" t="s">
        <v>143</v>
      </c>
      <c r="D638" s="70" t="s">
        <v>184</v>
      </c>
      <c r="E638" s="84">
        <f t="array" ref="E638">XLOOKUP($D638,concepto_salarios,monto_salarios,0)</f>
        <v>120</v>
      </c>
      <c r="F638" s="72">
        <v>0.0</v>
      </c>
      <c r="G638" s="74">
        <v>0.0</v>
      </c>
      <c r="H638" s="84">
        <f t="shared" si="1"/>
        <v>120</v>
      </c>
      <c r="I638" s="76" t="str">
        <f t="shared" si="2"/>
        <v>febrero</v>
      </c>
      <c r="J638" s="76">
        <f t="shared" si="3"/>
        <v>2026</v>
      </c>
    </row>
    <row r="639" ht="22.5" customHeight="1">
      <c r="A639" s="69">
        <v>46065.0</v>
      </c>
      <c r="B639" s="70" t="s">
        <v>70</v>
      </c>
      <c r="C639" s="70" t="s">
        <v>143</v>
      </c>
      <c r="D639" s="70" t="s">
        <v>184</v>
      </c>
      <c r="E639" s="84">
        <f t="array" ref="E639">XLOOKUP($D639,concepto_salarios,monto_salarios,0)</f>
        <v>120</v>
      </c>
      <c r="F639" s="72">
        <v>0.0</v>
      </c>
      <c r="G639" s="74">
        <v>0.0</v>
      </c>
      <c r="H639" s="84">
        <f t="shared" si="1"/>
        <v>120</v>
      </c>
      <c r="I639" s="76" t="str">
        <f t="shared" si="2"/>
        <v>febrero</v>
      </c>
      <c r="J639" s="76">
        <f t="shared" si="3"/>
        <v>2026</v>
      </c>
    </row>
    <row r="640" ht="22.5" customHeight="1">
      <c r="A640" s="69">
        <v>46066.0</v>
      </c>
      <c r="B640" s="70" t="s">
        <v>73</v>
      </c>
      <c r="C640" s="70" t="s">
        <v>140</v>
      </c>
      <c r="D640" s="70" t="s">
        <v>146</v>
      </c>
      <c r="E640" s="84">
        <f t="array" ref="E640">XLOOKUP($D640,concepto_salarios,monto_salarios,0)</f>
        <v>450</v>
      </c>
      <c r="F640" s="72">
        <v>0.0</v>
      </c>
      <c r="G640" s="74">
        <v>0.0</v>
      </c>
      <c r="H640" s="84">
        <f t="shared" si="1"/>
        <v>450</v>
      </c>
      <c r="I640" s="76" t="str">
        <f t="shared" si="2"/>
        <v>febrero</v>
      </c>
      <c r="J640" s="76">
        <f t="shared" si="3"/>
        <v>2026</v>
      </c>
    </row>
    <row r="641" ht="22.5" customHeight="1">
      <c r="A641" s="69">
        <v>46066.0</v>
      </c>
      <c r="B641" s="70" t="s">
        <v>73</v>
      </c>
      <c r="C641" s="70" t="s">
        <v>140</v>
      </c>
      <c r="D641" s="70" t="s">
        <v>144</v>
      </c>
      <c r="E641" s="84">
        <f t="array" ref="E641">XLOOKUP($D641,concepto_salarios,monto_salarios,0)</f>
        <v>150</v>
      </c>
      <c r="F641" s="72">
        <v>50.0</v>
      </c>
      <c r="G641" s="74">
        <v>0.0</v>
      </c>
      <c r="H641" s="84">
        <f t="shared" si="1"/>
        <v>100</v>
      </c>
      <c r="I641" s="76" t="str">
        <f t="shared" si="2"/>
        <v>febrero</v>
      </c>
      <c r="J641" s="76">
        <f t="shared" si="3"/>
        <v>2026</v>
      </c>
    </row>
    <row r="642" ht="22.5" customHeight="1">
      <c r="A642" s="69">
        <v>46066.0</v>
      </c>
      <c r="B642" s="70" t="s">
        <v>70</v>
      </c>
      <c r="C642" s="70" t="s">
        <v>140</v>
      </c>
      <c r="D642" s="70" t="s">
        <v>144</v>
      </c>
      <c r="E642" s="84">
        <f t="array" ref="E642">XLOOKUP($D642,concepto_salarios,monto_salarios,0)</f>
        <v>150</v>
      </c>
      <c r="F642" s="72">
        <v>50.0</v>
      </c>
      <c r="G642" s="74">
        <v>0.0</v>
      </c>
      <c r="H642" s="84">
        <f t="shared" si="1"/>
        <v>100</v>
      </c>
      <c r="I642" s="76" t="str">
        <f t="shared" si="2"/>
        <v>febrero</v>
      </c>
      <c r="J642" s="76">
        <f t="shared" si="3"/>
        <v>2026</v>
      </c>
    </row>
    <row r="643" ht="22.5" customHeight="1">
      <c r="A643" s="69">
        <v>46066.0</v>
      </c>
      <c r="B643" s="70" t="s">
        <v>56</v>
      </c>
      <c r="C643" s="70" t="s">
        <v>142</v>
      </c>
      <c r="D643" s="70" t="s">
        <v>223</v>
      </c>
      <c r="E643" s="84">
        <f t="array" ref="E643">XLOOKUP($D643,concepto_salarios,monto_salarios,0)</f>
        <v>100</v>
      </c>
      <c r="F643" s="72">
        <v>0.0</v>
      </c>
      <c r="G643" s="74">
        <v>0.0</v>
      </c>
      <c r="H643" s="84">
        <f t="shared" si="1"/>
        <v>100</v>
      </c>
      <c r="I643" s="76" t="str">
        <f t="shared" si="2"/>
        <v>febrero</v>
      </c>
      <c r="J643" s="76">
        <f t="shared" si="3"/>
        <v>2026</v>
      </c>
    </row>
    <row r="644" ht="22.5" customHeight="1">
      <c r="A644" s="69">
        <v>46066.0</v>
      </c>
      <c r="B644" s="70" t="s">
        <v>56</v>
      </c>
      <c r="C644" s="70" t="s">
        <v>142</v>
      </c>
      <c r="D644" s="70" t="s">
        <v>248</v>
      </c>
      <c r="E644" s="84">
        <f t="array" ref="E644">XLOOKUP($D644,concepto_salarios,monto_salarios,0)</f>
        <v>100</v>
      </c>
      <c r="F644" s="72">
        <v>0.0</v>
      </c>
      <c r="G644" s="74">
        <v>0.0</v>
      </c>
      <c r="H644" s="84">
        <f t="shared" si="1"/>
        <v>100</v>
      </c>
      <c r="I644" s="76" t="str">
        <f t="shared" si="2"/>
        <v>febrero</v>
      </c>
      <c r="J644" s="76">
        <f t="shared" si="3"/>
        <v>2026</v>
      </c>
    </row>
    <row r="645" ht="22.5" customHeight="1">
      <c r="A645" s="69">
        <v>46066.0</v>
      </c>
      <c r="B645" s="70" t="s">
        <v>41</v>
      </c>
      <c r="C645" s="70" t="s">
        <v>140</v>
      </c>
      <c r="D645" s="70" t="s">
        <v>146</v>
      </c>
      <c r="E645" s="84">
        <f t="array" ref="E645">XLOOKUP($D645,concepto_salarios,monto_salarios,0)</f>
        <v>450</v>
      </c>
      <c r="F645" s="72">
        <v>0.0</v>
      </c>
      <c r="G645" s="74">
        <v>0.0</v>
      </c>
      <c r="H645" s="84">
        <f t="shared" si="1"/>
        <v>450</v>
      </c>
      <c r="I645" s="76" t="str">
        <f t="shared" si="2"/>
        <v>febrero</v>
      </c>
      <c r="J645" s="76">
        <f t="shared" si="3"/>
        <v>2026</v>
      </c>
    </row>
    <row r="646" ht="22.5" customHeight="1">
      <c r="A646" s="69">
        <v>46066.0</v>
      </c>
      <c r="B646" s="70" t="s">
        <v>41</v>
      </c>
      <c r="C646" s="70" t="s">
        <v>142</v>
      </c>
      <c r="D646" s="70" t="s">
        <v>195</v>
      </c>
      <c r="E646" s="84">
        <f t="array" ref="E646">XLOOKUP($D646,concepto_salarios,monto_salarios,0)</f>
        <v>150</v>
      </c>
      <c r="F646" s="72">
        <v>0.0</v>
      </c>
      <c r="G646" s="74">
        <v>0.0</v>
      </c>
      <c r="H646" s="84">
        <f t="shared" si="1"/>
        <v>150</v>
      </c>
      <c r="I646" s="76" t="str">
        <f t="shared" si="2"/>
        <v>febrero</v>
      </c>
      <c r="J646" s="76">
        <f t="shared" si="3"/>
        <v>2026</v>
      </c>
    </row>
    <row r="647" ht="22.5" customHeight="1">
      <c r="A647" s="69">
        <v>46066.0</v>
      </c>
      <c r="B647" s="70" t="s">
        <v>41</v>
      </c>
      <c r="C647" s="70" t="s">
        <v>140</v>
      </c>
      <c r="D647" s="70" t="s">
        <v>141</v>
      </c>
      <c r="E647" s="84">
        <f t="array" ref="E647">XLOOKUP($D647,concepto_salarios,monto_salarios,0)</f>
        <v>250</v>
      </c>
      <c r="F647" s="72">
        <v>0.0</v>
      </c>
      <c r="G647" s="74">
        <v>0.0</v>
      </c>
      <c r="H647" s="84">
        <f t="shared" si="1"/>
        <v>250</v>
      </c>
      <c r="I647" s="76" t="str">
        <f t="shared" si="2"/>
        <v>febrero</v>
      </c>
      <c r="J647" s="76">
        <f t="shared" si="3"/>
        <v>2026</v>
      </c>
    </row>
    <row r="648" ht="22.5" customHeight="1">
      <c r="A648" s="69">
        <v>46066.0</v>
      </c>
      <c r="B648" s="70" t="s">
        <v>41</v>
      </c>
      <c r="C648" s="70" t="s">
        <v>142</v>
      </c>
      <c r="D648" s="70" t="s">
        <v>254</v>
      </c>
      <c r="E648" s="84">
        <f t="array" ref="E648">XLOOKUP($D648,concepto_salarios,monto_salarios,0)</f>
        <v>150</v>
      </c>
      <c r="F648" s="72">
        <v>0.0</v>
      </c>
      <c r="G648" s="74">
        <v>0.0</v>
      </c>
      <c r="H648" s="84">
        <f t="shared" si="1"/>
        <v>150</v>
      </c>
      <c r="I648" s="76" t="str">
        <f t="shared" si="2"/>
        <v>febrero</v>
      </c>
      <c r="J648" s="76">
        <f t="shared" si="3"/>
        <v>2026</v>
      </c>
    </row>
    <row r="649" ht="22.5" customHeight="1">
      <c r="A649" s="69">
        <v>46066.0</v>
      </c>
      <c r="B649" s="70" t="s">
        <v>46</v>
      </c>
      <c r="C649" s="70" t="s">
        <v>142</v>
      </c>
      <c r="D649" s="70" t="s">
        <v>195</v>
      </c>
      <c r="E649" s="84">
        <f t="array" ref="E649">XLOOKUP($D649,concepto_salarios,monto_salarios,0)</f>
        <v>150</v>
      </c>
      <c r="F649" s="72">
        <v>0.0</v>
      </c>
      <c r="G649" s="74">
        <v>0.0</v>
      </c>
      <c r="H649" s="84">
        <f t="shared" si="1"/>
        <v>150</v>
      </c>
      <c r="I649" s="76" t="str">
        <f t="shared" si="2"/>
        <v>febrero</v>
      </c>
      <c r="J649" s="76">
        <f t="shared" si="3"/>
        <v>2026</v>
      </c>
    </row>
    <row r="650" ht="22.5" customHeight="1">
      <c r="A650" s="69">
        <v>46066.0</v>
      </c>
      <c r="B650" s="70" t="s">
        <v>46</v>
      </c>
      <c r="C650" s="70" t="s">
        <v>140</v>
      </c>
      <c r="D650" s="70" t="s">
        <v>145</v>
      </c>
      <c r="E650" s="84">
        <f t="array" ref="E650">XLOOKUP($D650,concepto_salarios,monto_salarios,0)</f>
        <v>350</v>
      </c>
      <c r="F650" s="72">
        <v>0.0</v>
      </c>
      <c r="G650" s="74">
        <v>0.0</v>
      </c>
      <c r="H650" s="84">
        <f t="shared" si="1"/>
        <v>350</v>
      </c>
      <c r="I650" s="76" t="str">
        <f t="shared" si="2"/>
        <v>febrero</v>
      </c>
      <c r="J650" s="76">
        <f t="shared" si="3"/>
        <v>2026</v>
      </c>
    </row>
    <row r="651" ht="22.5" customHeight="1">
      <c r="A651" s="69">
        <v>46066.0</v>
      </c>
      <c r="B651" s="70" t="s">
        <v>46</v>
      </c>
      <c r="C651" s="70" t="s">
        <v>142</v>
      </c>
      <c r="D651" s="70" t="s">
        <v>254</v>
      </c>
      <c r="E651" s="84">
        <f t="array" ref="E651">XLOOKUP($D651,concepto_salarios,monto_salarios,0)</f>
        <v>150</v>
      </c>
      <c r="F651" s="72">
        <v>0.0</v>
      </c>
      <c r="G651" s="74">
        <v>0.0</v>
      </c>
      <c r="H651" s="84">
        <f t="shared" si="1"/>
        <v>150</v>
      </c>
      <c r="I651" s="76" t="str">
        <f t="shared" si="2"/>
        <v>febrero</v>
      </c>
      <c r="J651" s="76">
        <f t="shared" si="3"/>
        <v>2026</v>
      </c>
    </row>
    <row r="652" ht="22.5" customHeight="1">
      <c r="A652" s="69">
        <v>46066.0</v>
      </c>
      <c r="B652" s="70" t="s">
        <v>51</v>
      </c>
      <c r="C652" s="70" t="s">
        <v>142</v>
      </c>
      <c r="D652" s="70" t="s">
        <v>200</v>
      </c>
      <c r="E652" s="84">
        <f t="array" ref="E652">XLOOKUP($D652,concepto_salarios,monto_salarios,0)</f>
        <v>990</v>
      </c>
      <c r="F652" s="72">
        <v>0.0</v>
      </c>
      <c r="G652" s="74">
        <v>0.0</v>
      </c>
      <c r="H652" s="84">
        <f t="shared" si="1"/>
        <v>990</v>
      </c>
      <c r="I652" s="76" t="str">
        <f t="shared" si="2"/>
        <v>febrero</v>
      </c>
      <c r="J652" s="76">
        <f t="shared" si="3"/>
        <v>2026</v>
      </c>
    </row>
    <row r="653" ht="22.5" customHeight="1">
      <c r="A653" s="69">
        <v>46067.0</v>
      </c>
      <c r="B653" s="70" t="s">
        <v>73</v>
      </c>
      <c r="C653" s="70" t="s">
        <v>143</v>
      </c>
      <c r="D653" s="70" t="s">
        <v>218</v>
      </c>
      <c r="E653" s="84">
        <f t="array" ref="E653">XLOOKUP($D653,concepto_salarios,monto_salarios,0)</f>
        <v>100</v>
      </c>
      <c r="F653" s="72">
        <v>0.0</v>
      </c>
      <c r="G653" s="74">
        <v>0.0</v>
      </c>
      <c r="H653" s="84">
        <f t="shared" si="1"/>
        <v>100</v>
      </c>
      <c r="I653" s="76" t="str">
        <f t="shared" si="2"/>
        <v>febrero</v>
      </c>
      <c r="J653" s="76">
        <f t="shared" si="3"/>
        <v>2026</v>
      </c>
    </row>
    <row r="654" ht="22.5" customHeight="1">
      <c r="A654" s="69">
        <v>46067.0</v>
      </c>
      <c r="B654" s="70" t="s">
        <v>73</v>
      </c>
      <c r="C654" s="70" t="s">
        <v>143</v>
      </c>
      <c r="D654" s="70" t="s">
        <v>188</v>
      </c>
      <c r="E654" s="84">
        <f t="array" ref="E654">XLOOKUP($D654,concepto_salarios,monto_salarios,0)</f>
        <v>90</v>
      </c>
      <c r="F654" s="72">
        <v>0.0</v>
      </c>
      <c r="G654" s="74">
        <v>0.0</v>
      </c>
      <c r="H654" s="84">
        <f t="shared" si="1"/>
        <v>90</v>
      </c>
      <c r="I654" s="76" t="str">
        <f t="shared" si="2"/>
        <v>febrero</v>
      </c>
      <c r="J654" s="76">
        <f t="shared" si="3"/>
        <v>2026</v>
      </c>
    </row>
    <row r="655" ht="22.5" customHeight="1">
      <c r="A655" s="69">
        <v>46067.0</v>
      </c>
      <c r="B655" s="70" t="s">
        <v>73</v>
      </c>
      <c r="C655" s="70" t="s">
        <v>142</v>
      </c>
      <c r="D655" s="70" t="s">
        <v>248</v>
      </c>
      <c r="E655" s="84">
        <f t="array" ref="E655">XLOOKUP($D655,concepto_salarios,monto_salarios,0)</f>
        <v>100</v>
      </c>
      <c r="F655" s="72">
        <v>0.0</v>
      </c>
      <c r="G655" s="74">
        <v>0.0</v>
      </c>
      <c r="H655" s="84">
        <f t="shared" si="1"/>
        <v>100</v>
      </c>
      <c r="I655" s="76" t="str">
        <f t="shared" si="2"/>
        <v>febrero</v>
      </c>
      <c r="J655" s="76">
        <f t="shared" si="3"/>
        <v>2026</v>
      </c>
    </row>
    <row r="656" ht="22.5" customHeight="1">
      <c r="A656" s="69">
        <v>46067.0</v>
      </c>
      <c r="B656" s="70" t="s">
        <v>41</v>
      </c>
      <c r="C656" s="70" t="s">
        <v>143</v>
      </c>
      <c r="D656" s="70" t="s">
        <v>218</v>
      </c>
      <c r="E656" s="84">
        <f t="array" ref="E656">XLOOKUP($D656,concepto_salarios,monto_salarios,0)</f>
        <v>100</v>
      </c>
      <c r="F656" s="72">
        <v>0.0</v>
      </c>
      <c r="G656" s="74">
        <v>0.0</v>
      </c>
      <c r="H656" s="84">
        <f t="shared" si="1"/>
        <v>100</v>
      </c>
      <c r="I656" s="76" t="str">
        <f t="shared" si="2"/>
        <v>febrero</v>
      </c>
      <c r="J656" s="76">
        <f t="shared" si="3"/>
        <v>2026</v>
      </c>
    </row>
    <row r="657" ht="22.5" customHeight="1">
      <c r="A657" s="69">
        <v>46067.0</v>
      </c>
      <c r="B657" s="70" t="s">
        <v>41</v>
      </c>
      <c r="C657" s="70" t="s">
        <v>143</v>
      </c>
      <c r="D657" s="70" t="s">
        <v>188</v>
      </c>
      <c r="E657" s="84">
        <f t="array" ref="E657">XLOOKUP($D657,concepto_salarios,monto_salarios,0)</f>
        <v>90</v>
      </c>
      <c r="F657" s="72">
        <v>0.0</v>
      </c>
      <c r="G657" s="74">
        <v>0.0</v>
      </c>
      <c r="H657" s="84">
        <f t="shared" si="1"/>
        <v>90</v>
      </c>
      <c r="I657" s="76" t="str">
        <f t="shared" si="2"/>
        <v>febrero</v>
      </c>
      <c r="J657" s="76">
        <f t="shared" si="3"/>
        <v>2026</v>
      </c>
    </row>
    <row r="658" ht="22.5" customHeight="1">
      <c r="A658" s="69">
        <v>46067.0</v>
      </c>
      <c r="B658" s="70" t="s">
        <v>41</v>
      </c>
      <c r="C658" s="70" t="s">
        <v>142</v>
      </c>
      <c r="D658" s="70" t="s">
        <v>248</v>
      </c>
      <c r="E658" s="84">
        <f t="array" ref="E658">XLOOKUP($D658,concepto_salarios,monto_salarios,0)</f>
        <v>100</v>
      </c>
      <c r="F658" s="72">
        <v>0.0</v>
      </c>
      <c r="G658" s="74">
        <v>0.0</v>
      </c>
      <c r="H658" s="84">
        <f t="shared" si="1"/>
        <v>100</v>
      </c>
      <c r="I658" s="76" t="str">
        <f t="shared" si="2"/>
        <v>febrero</v>
      </c>
      <c r="J658" s="76">
        <f t="shared" si="3"/>
        <v>2026</v>
      </c>
    </row>
    <row r="659" ht="22.5" customHeight="1">
      <c r="A659" s="69">
        <v>46067.0</v>
      </c>
      <c r="B659" s="70" t="s">
        <v>46</v>
      </c>
      <c r="C659" s="70" t="s">
        <v>142</v>
      </c>
      <c r="D659" s="70" t="s">
        <v>223</v>
      </c>
      <c r="E659" s="84">
        <f t="array" ref="E659">XLOOKUP($D659,concepto_salarios,monto_salarios,0)</f>
        <v>100</v>
      </c>
      <c r="F659" s="72">
        <v>0.0</v>
      </c>
      <c r="G659" s="74">
        <v>0.0</v>
      </c>
      <c r="H659" s="84">
        <f t="shared" si="1"/>
        <v>100</v>
      </c>
      <c r="I659" s="76" t="str">
        <f t="shared" si="2"/>
        <v>febrero</v>
      </c>
      <c r="J659" s="76">
        <f t="shared" si="3"/>
        <v>2026</v>
      </c>
    </row>
    <row r="660" ht="22.5" customHeight="1">
      <c r="A660" s="69">
        <v>46067.0</v>
      </c>
      <c r="B660" s="70" t="s">
        <v>46</v>
      </c>
      <c r="C660" s="70" t="s">
        <v>142</v>
      </c>
      <c r="D660" s="70" t="s">
        <v>223</v>
      </c>
      <c r="E660" s="84">
        <f t="array" ref="E660">XLOOKUP($D660,concepto_salarios,monto_salarios,0)</f>
        <v>100</v>
      </c>
      <c r="F660" s="72">
        <v>0.0</v>
      </c>
      <c r="G660" s="74">
        <v>0.0</v>
      </c>
      <c r="H660" s="84">
        <f t="shared" si="1"/>
        <v>100</v>
      </c>
      <c r="I660" s="76" t="str">
        <f t="shared" si="2"/>
        <v>febrero</v>
      </c>
      <c r="J660" s="76">
        <f t="shared" si="3"/>
        <v>2026</v>
      </c>
    </row>
    <row r="661" ht="22.5" customHeight="1">
      <c r="A661" s="69">
        <v>46067.0</v>
      </c>
      <c r="B661" s="70" t="s">
        <v>56</v>
      </c>
      <c r="C661" s="70" t="s">
        <v>142</v>
      </c>
      <c r="D661" s="70" t="s">
        <v>223</v>
      </c>
      <c r="E661" s="84">
        <f t="array" ref="E661">XLOOKUP($D661,concepto_salarios,monto_salarios,0)</f>
        <v>100</v>
      </c>
      <c r="F661" s="72">
        <v>0.0</v>
      </c>
      <c r="G661" s="74">
        <v>0.0</v>
      </c>
      <c r="H661" s="84">
        <f t="shared" si="1"/>
        <v>100</v>
      </c>
      <c r="I661" s="76" t="str">
        <f t="shared" si="2"/>
        <v>febrero</v>
      </c>
      <c r="J661" s="76">
        <f t="shared" si="3"/>
        <v>2026</v>
      </c>
    </row>
    <row r="662" ht="22.5" customHeight="1">
      <c r="A662" s="69">
        <v>46067.0</v>
      </c>
      <c r="B662" s="70" t="s">
        <v>51</v>
      </c>
      <c r="C662" s="70" t="s">
        <v>142</v>
      </c>
      <c r="D662" s="70" t="s">
        <v>255</v>
      </c>
      <c r="E662" s="84">
        <f t="array" ref="E662">XLOOKUP($D662,concepto_salarios,monto_salarios,0)</f>
        <v>1140</v>
      </c>
      <c r="F662" s="72">
        <v>0.0</v>
      </c>
      <c r="G662" s="74">
        <v>0.0</v>
      </c>
      <c r="H662" s="84">
        <f t="shared" si="1"/>
        <v>1140</v>
      </c>
      <c r="I662" s="76" t="str">
        <f t="shared" si="2"/>
        <v>febrero</v>
      </c>
      <c r="J662" s="76">
        <f t="shared" si="3"/>
        <v>2026</v>
      </c>
    </row>
    <row r="663" ht="22.5" customHeight="1">
      <c r="A663" s="69">
        <v>46068.0</v>
      </c>
      <c r="B663" s="70" t="s">
        <v>41</v>
      </c>
      <c r="C663" s="70" t="s">
        <v>143</v>
      </c>
      <c r="D663" s="70" t="s">
        <v>227</v>
      </c>
      <c r="E663" s="84">
        <f t="array" ref="E663">XLOOKUP($D663,concepto_salarios,monto_salarios,0)</f>
        <v>50</v>
      </c>
      <c r="F663" s="72">
        <v>0.0</v>
      </c>
      <c r="G663" s="74">
        <v>0.0</v>
      </c>
      <c r="H663" s="84">
        <f t="shared" si="1"/>
        <v>50</v>
      </c>
      <c r="I663" s="76" t="str">
        <f t="shared" si="2"/>
        <v>febrero</v>
      </c>
      <c r="J663" s="76">
        <f t="shared" si="3"/>
        <v>2026</v>
      </c>
    </row>
    <row r="664" ht="22.5" customHeight="1">
      <c r="A664" s="69">
        <v>46068.0</v>
      </c>
      <c r="B664" s="70" t="s">
        <v>41</v>
      </c>
      <c r="C664" s="70" t="s">
        <v>143</v>
      </c>
      <c r="D664" s="70" t="s">
        <v>179</v>
      </c>
      <c r="E664" s="84">
        <f t="array" ref="E664">XLOOKUP($D664,concepto_salarios,monto_salarios,0)</f>
        <v>50</v>
      </c>
      <c r="F664" s="72">
        <v>0.0</v>
      </c>
      <c r="G664" s="74">
        <v>0.0</v>
      </c>
      <c r="H664" s="84">
        <f t="shared" si="1"/>
        <v>50</v>
      </c>
      <c r="I664" s="76" t="str">
        <f t="shared" si="2"/>
        <v>febrero</v>
      </c>
      <c r="J664" s="76">
        <f t="shared" si="3"/>
        <v>2026</v>
      </c>
    </row>
    <row r="665" ht="22.5" customHeight="1">
      <c r="A665" s="69">
        <v>46068.0</v>
      </c>
      <c r="B665" s="70" t="s">
        <v>41</v>
      </c>
      <c r="C665" s="70" t="s">
        <v>143</v>
      </c>
      <c r="D665" s="70" t="s">
        <v>170</v>
      </c>
      <c r="E665" s="84">
        <f t="array" ref="E665">XLOOKUP($D665,concepto_salarios,monto_salarios,0)</f>
        <v>150</v>
      </c>
      <c r="F665" s="72">
        <v>0.0</v>
      </c>
      <c r="G665" s="74">
        <v>0.0</v>
      </c>
      <c r="H665" s="84">
        <f t="shared" si="1"/>
        <v>150</v>
      </c>
      <c r="I665" s="76" t="str">
        <f t="shared" si="2"/>
        <v>febrero</v>
      </c>
      <c r="J665" s="76">
        <f t="shared" si="3"/>
        <v>2026</v>
      </c>
    </row>
    <row r="666" ht="22.5" customHeight="1">
      <c r="A666" s="69">
        <v>46068.0</v>
      </c>
      <c r="B666" s="70" t="s">
        <v>41</v>
      </c>
      <c r="C666" s="70" t="s">
        <v>140</v>
      </c>
      <c r="D666" s="70" t="s">
        <v>198</v>
      </c>
      <c r="E666" s="84">
        <f t="array" ref="E666">XLOOKUP($D666,concepto_salarios,monto_salarios,0)</f>
        <v>200</v>
      </c>
      <c r="F666" s="72">
        <v>0.0</v>
      </c>
      <c r="G666" s="74">
        <v>0.0</v>
      </c>
      <c r="H666" s="84">
        <f t="shared" si="1"/>
        <v>200</v>
      </c>
      <c r="I666" s="76" t="str">
        <f t="shared" si="2"/>
        <v>febrero</v>
      </c>
      <c r="J666" s="76">
        <f t="shared" si="3"/>
        <v>2026</v>
      </c>
    </row>
    <row r="667" ht="22.5" customHeight="1">
      <c r="A667" s="69">
        <v>46068.0</v>
      </c>
      <c r="B667" s="70" t="s">
        <v>41</v>
      </c>
      <c r="C667" s="70" t="s">
        <v>143</v>
      </c>
      <c r="D667" s="70" t="s">
        <v>165</v>
      </c>
      <c r="E667" s="84">
        <f t="array" ref="E667">XLOOKUP($D667,concepto_salarios,monto_salarios,0)</f>
        <v>90</v>
      </c>
      <c r="F667" s="72">
        <v>0.0</v>
      </c>
      <c r="G667" s="74">
        <v>0.0</v>
      </c>
      <c r="H667" s="84">
        <f t="shared" si="1"/>
        <v>90</v>
      </c>
      <c r="I667" s="76" t="str">
        <f t="shared" si="2"/>
        <v>febrero</v>
      </c>
      <c r="J667" s="76">
        <f t="shared" si="3"/>
        <v>2026</v>
      </c>
    </row>
    <row r="668" ht="22.5" customHeight="1">
      <c r="A668" s="69">
        <v>46068.0</v>
      </c>
      <c r="B668" s="70" t="s">
        <v>41</v>
      </c>
      <c r="C668" s="70" t="s">
        <v>140</v>
      </c>
      <c r="D668" s="70" t="s">
        <v>145</v>
      </c>
      <c r="E668" s="84">
        <f t="array" ref="E668">XLOOKUP($D668,concepto_salarios,monto_salarios,0)</f>
        <v>350</v>
      </c>
      <c r="F668" s="72">
        <v>0.0</v>
      </c>
      <c r="G668" s="74">
        <v>0.0</v>
      </c>
      <c r="H668" s="84">
        <f t="shared" si="1"/>
        <v>350</v>
      </c>
      <c r="I668" s="76" t="str">
        <f t="shared" si="2"/>
        <v>febrero</v>
      </c>
      <c r="J668" s="76">
        <f t="shared" si="3"/>
        <v>2026</v>
      </c>
    </row>
    <row r="669" ht="22.5" customHeight="1">
      <c r="A669" s="69">
        <v>46068.0</v>
      </c>
      <c r="B669" s="70" t="s">
        <v>79</v>
      </c>
      <c r="C669" s="70" t="s">
        <v>143</v>
      </c>
      <c r="D669" s="70" t="s">
        <v>227</v>
      </c>
      <c r="E669" s="84">
        <f t="array" ref="E669">XLOOKUP($D669,concepto_salarios,monto_salarios,0)</f>
        <v>50</v>
      </c>
      <c r="F669" s="72">
        <v>0.0</v>
      </c>
      <c r="G669" s="74">
        <v>0.0</v>
      </c>
      <c r="H669" s="84">
        <f t="shared" si="1"/>
        <v>50</v>
      </c>
      <c r="I669" s="76" t="str">
        <f t="shared" si="2"/>
        <v>febrero</v>
      </c>
      <c r="J669" s="76">
        <f t="shared" si="3"/>
        <v>2026</v>
      </c>
    </row>
    <row r="670" ht="22.5" customHeight="1">
      <c r="A670" s="69">
        <v>46068.0</v>
      </c>
      <c r="B670" s="70" t="s">
        <v>79</v>
      </c>
      <c r="C670" s="70" t="s">
        <v>143</v>
      </c>
      <c r="D670" s="70" t="s">
        <v>179</v>
      </c>
      <c r="E670" s="84">
        <f t="array" ref="E670">XLOOKUP($D670,concepto_salarios,monto_salarios,0)</f>
        <v>50</v>
      </c>
      <c r="F670" s="72">
        <v>0.0</v>
      </c>
      <c r="G670" s="74">
        <v>0.0</v>
      </c>
      <c r="H670" s="84">
        <f t="shared" si="1"/>
        <v>50</v>
      </c>
      <c r="I670" s="76" t="str">
        <f t="shared" si="2"/>
        <v>febrero</v>
      </c>
      <c r="J670" s="76">
        <f t="shared" si="3"/>
        <v>2026</v>
      </c>
    </row>
    <row r="671" ht="22.5" customHeight="1">
      <c r="A671" s="69">
        <v>46068.0</v>
      </c>
      <c r="B671" s="70" t="s">
        <v>79</v>
      </c>
      <c r="C671" s="70" t="s">
        <v>143</v>
      </c>
      <c r="D671" s="70" t="s">
        <v>170</v>
      </c>
      <c r="E671" s="84">
        <f t="array" ref="E671">XLOOKUP($D671,concepto_salarios,monto_salarios,0)</f>
        <v>150</v>
      </c>
      <c r="F671" s="72">
        <v>0.0</v>
      </c>
      <c r="G671" s="74">
        <v>0.0</v>
      </c>
      <c r="H671" s="84">
        <f t="shared" si="1"/>
        <v>150</v>
      </c>
      <c r="I671" s="76" t="str">
        <f t="shared" si="2"/>
        <v>febrero</v>
      </c>
      <c r="J671" s="76">
        <f t="shared" si="3"/>
        <v>2026</v>
      </c>
    </row>
    <row r="672" ht="22.5" customHeight="1">
      <c r="A672" s="69">
        <v>46068.0</v>
      </c>
      <c r="B672" s="70" t="s">
        <v>79</v>
      </c>
      <c r="C672" s="70" t="s">
        <v>140</v>
      </c>
      <c r="D672" s="70" t="s">
        <v>198</v>
      </c>
      <c r="E672" s="84">
        <f t="array" ref="E672">XLOOKUP($D672,concepto_salarios,monto_salarios,0)</f>
        <v>200</v>
      </c>
      <c r="F672" s="72">
        <v>0.0</v>
      </c>
      <c r="G672" s="74">
        <v>0.0</v>
      </c>
      <c r="H672" s="84">
        <f t="shared" si="1"/>
        <v>200</v>
      </c>
      <c r="I672" s="76" t="str">
        <f t="shared" si="2"/>
        <v>febrero</v>
      </c>
      <c r="J672" s="76">
        <f t="shared" si="3"/>
        <v>2026</v>
      </c>
    </row>
    <row r="673" ht="22.5" customHeight="1">
      <c r="A673" s="69">
        <v>46068.0</v>
      </c>
      <c r="B673" s="70" t="s">
        <v>79</v>
      </c>
      <c r="C673" s="70" t="s">
        <v>143</v>
      </c>
      <c r="D673" s="70" t="s">
        <v>165</v>
      </c>
      <c r="E673" s="84">
        <f t="array" ref="E673">XLOOKUP($D673,concepto_salarios,monto_salarios,0)</f>
        <v>90</v>
      </c>
      <c r="F673" s="72">
        <v>0.0</v>
      </c>
      <c r="G673" s="74">
        <v>0.0</v>
      </c>
      <c r="H673" s="84">
        <f t="shared" si="1"/>
        <v>90</v>
      </c>
      <c r="I673" s="76" t="str">
        <f t="shared" si="2"/>
        <v>febrero</v>
      </c>
      <c r="J673" s="76">
        <f t="shared" si="3"/>
        <v>2026</v>
      </c>
    </row>
    <row r="674" ht="22.5" customHeight="1">
      <c r="A674" s="69">
        <v>46068.0</v>
      </c>
      <c r="B674" s="70" t="s">
        <v>79</v>
      </c>
      <c r="C674" s="70" t="s">
        <v>140</v>
      </c>
      <c r="D674" s="70" t="s">
        <v>145</v>
      </c>
      <c r="E674" s="84">
        <f t="array" ref="E674">XLOOKUP($D674,concepto_salarios,monto_salarios,0)</f>
        <v>350</v>
      </c>
      <c r="F674" s="72">
        <v>0.0</v>
      </c>
      <c r="G674" s="74">
        <v>0.0</v>
      </c>
      <c r="H674" s="84">
        <f t="shared" si="1"/>
        <v>350</v>
      </c>
      <c r="I674" s="76" t="str">
        <f t="shared" si="2"/>
        <v>febrero</v>
      </c>
      <c r="J674" s="76">
        <f t="shared" si="3"/>
        <v>2026</v>
      </c>
    </row>
    <row r="675" ht="22.5" customHeight="1">
      <c r="A675" s="69">
        <v>46068.0</v>
      </c>
      <c r="B675" s="70" t="s">
        <v>81</v>
      </c>
      <c r="C675" s="70" t="s">
        <v>140</v>
      </c>
      <c r="D675" s="70" t="s">
        <v>145</v>
      </c>
      <c r="E675" s="84">
        <f t="array" ref="E675">XLOOKUP($D675,concepto_salarios,monto_salarios,0)</f>
        <v>350</v>
      </c>
      <c r="F675" s="72">
        <v>0.0</v>
      </c>
      <c r="G675" s="74">
        <v>50.0</v>
      </c>
      <c r="H675" s="84">
        <f t="shared" si="1"/>
        <v>400</v>
      </c>
      <c r="I675" s="76" t="str">
        <f t="shared" si="2"/>
        <v>febrero</v>
      </c>
      <c r="J675" s="76">
        <f t="shared" si="3"/>
        <v>2026</v>
      </c>
    </row>
    <row r="676" ht="22.5" customHeight="1">
      <c r="A676" s="69">
        <v>46068.0</v>
      </c>
      <c r="B676" s="70" t="s">
        <v>81</v>
      </c>
      <c r="C676" s="70" t="s">
        <v>163</v>
      </c>
      <c r="D676" s="70" t="s">
        <v>164</v>
      </c>
      <c r="E676" s="84">
        <f t="array" ref="E676">XLOOKUP($D676,concepto_salarios,monto_salarios,0)</f>
        <v>100</v>
      </c>
      <c r="F676" s="72">
        <v>0.0</v>
      </c>
      <c r="G676" s="74">
        <v>0.0</v>
      </c>
      <c r="H676" s="84">
        <f t="shared" si="1"/>
        <v>100</v>
      </c>
      <c r="I676" s="76" t="str">
        <f t="shared" si="2"/>
        <v>febrero</v>
      </c>
      <c r="J676" s="76">
        <f t="shared" si="3"/>
        <v>2026</v>
      </c>
    </row>
    <row r="677" ht="22.5" customHeight="1">
      <c r="A677" s="69">
        <v>46068.0</v>
      </c>
      <c r="B677" s="70" t="s">
        <v>46</v>
      </c>
      <c r="C677" s="70" t="s">
        <v>142</v>
      </c>
      <c r="D677" s="70" t="s">
        <v>248</v>
      </c>
      <c r="E677" s="84">
        <f t="array" ref="E677">XLOOKUP($D677,concepto_salarios,monto_salarios,0)</f>
        <v>100</v>
      </c>
      <c r="F677" s="72">
        <v>0.0</v>
      </c>
      <c r="G677" s="74">
        <v>0.0</v>
      </c>
      <c r="H677" s="84">
        <f t="shared" si="1"/>
        <v>100</v>
      </c>
      <c r="I677" s="76" t="str">
        <f t="shared" si="2"/>
        <v>febrero</v>
      </c>
      <c r="J677" s="76">
        <f t="shared" si="3"/>
        <v>2026</v>
      </c>
    </row>
    <row r="678" ht="22.5" customHeight="1">
      <c r="A678" s="69">
        <v>46068.0</v>
      </c>
      <c r="B678" s="70" t="s">
        <v>46</v>
      </c>
      <c r="C678" s="70" t="s">
        <v>143</v>
      </c>
      <c r="D678" s="70" t="s">
        <v>231</v>
      </c>
      <c r="E678" s="84">
        <f t="array" ref="E678">XLOOKUP($D678,concepto_salarios,monto_salarios,0)</f>
        <v>50</v>
      </c>
      <c r="F678" s="72">
        <v>0.0</v>
      </c>
      <c r="G678" s="74">
        <v>0.0</v>
      </c>
      <c r="H678" s="84">
        <f t="shared" si="1"/>
        <v>50</v>
      </c>
      <c r="I678" s="76" t="str">
        <f t="shared" si="2"/>
        <v>febrero</v>
      </c>
      <c r="J678" s="76">
        <f t="shared" si="3"/>
        <v>2026</v>
      </c>
    </row>
    <row r="679" ht="22.5" customHeight="1">
      <c r="A679" s="69">
        <v>46068.0</v>
      </c>
      <c r="B679" s="70" t="s">
        <v>56</v>
      </c>
      <c r="C679" s="70" t="s">
        <v>142</v>
      </c>
      <c r="D679" s="70" t="s">
        <v>248</v>
      </c>
      <c r="E679" s="84">
        <f t="array" ref="E679">XLOOKUP($D679,concepto_salarios,monto_salarios,0)</f>
        <v>100</v>
      </c>
      <c r="F679" s="72">
        <v>0.0</v>
      </c>
      <c r="G679" s="74">
        <v>0.0</v>
      </c>
      <c r="H679" s="84">
        <f t="shared" si="1"/>
        <v>100</v>
      </c>
      <c r="I679" s="76" t="str">
        <f t="shared" si="2"/>
        <v>febrero</v>
      </c>
      <c r="J679" s="76">
        <f t="shared" si="3"/>
        <v>2026</v>
      </c>
    </row>
    <row r="680" ht="22.5" customHeight="1">
      <c r="A680" s="69">
        <v>46068.0</v>
      </c>
      <c r="B680" s="70" t="s">
        <v>56</v>
      </c>
      <c r="C680" s="70" t="s">
        <v>143</v>
      </c>
      <c r="D680" s="70" t="s">
        <v>231</v>
      </c>
      <c r="E680" s="84">
        <f t="array" ref="E680">XLOOKUP($D680,concepto_salarios,monto_salarios,0)</f>
        <v>50</v>
      </c>
      <c r="F680" s="72">
        <v>0.0</v>
      </c>
      <c r="G680" s="74">
        <v>0.0</v>
      </c>
      <c r="H680" s="84">
        <f t="shared" si="1"/>
        <v>50</v>
      </c>
      <c r="I680" s="76" t="str">
        <f t="shared" si="2"/>
        <v>febrero</v>
      </c>
      <c r="J680" s="76">
        <f t="shared" si="3"/>
        <v>2026</v>
      </c>
    </row>
    <row r="681" ht="22.5" customHeight="1">
      <c r="A681" s="69">
        <v>46073.0</v>
      </c>
      <c r="B681" s="70" t="s">
        <v>56</v>
      </c>
      <c r="C681" s="70" t="s">
        <v>142</v>
      </c>
      <c r="D681" s="70" t="s">
        <v>223</v>
      </c>
      <c r="E681" s="84">
        <f t="array" ref="E681">XLOOKUP($D681,concepto_salarios,monto_salarios,0)</f>
        <v>100</v>
      </c>
      <c r="F681" s="72">
        <v>50.0</v>
      </c>
      <c r="G681" s="74">
        <v>0.0</v>
      </c>
      <c r="H681" s="84">
        <f t="shared" si="1"/>
        <v>50</v>
      </c>
      <c r="I681" s="76" t="str">
        <f t="shared" si="2"/>
        <v>febrero</v>
      </c>
      <c r="J681" s="76">
        <f t="shared" si="3"/>
        <v>2026</v>
      </c>
    </row>
    <row r="682" ht="22.5" customHeight="1">
      <c r="A682" s="69">
        <v>46074.0</v>
      </c>
      <c r="B682" s="70" t="s">
        <v>73</v>
      </c>
      <c r="C682" s="70" t="s">
        <v>143</v>
      </c>
      <c r="D682" s="70" t="s">
        <v>184</v>
      </c>
      <c r="E682" s="84">
        <f t="array" ref="E682">XLOOKUP($D682,concepto_salarios,monto_salarios,0)</f>
        <v>120</v>
      </c>
      <c r="F682" s="72">
        <v>0.0</v>
      </c>
      <c r="G682" s="74">
        <v>0.0</v>
      </c>
      <c r="H682" s="84">
        <f t="shared" si="1"/>
        <v>120</v>
      </c>
      <c r="I682" s="76" t="str">
        <f t="shared" si="2"/>
        <v>febrero</v>
      </c>
      <c r="J682" s="76">
        <f t="shared" si="3"/>
        <v>2026</v>
      </c>
    </row>
    <row r="683" ht="22.5" customHeight="1">
      <c r="A683" s="69">
        <v>46074.0</v>
      </c>
      <c r="B683" s="70" t="s">
        <v>73</v>
      </c>
      <c r="C683" s="70" t="s">
        <v>140</v>
      </c>
      <c r="D683" s="70" t="s">
        <v>146</v>
      </c>
      <c r="E683" s="84">
        <f t="array" ref="E683">XLOOKUP($D683,concepto_salarios,monto_salarios,0)</f>
        <v>450</v>
      </c>
      <c r="F683" s="72">
        <v>0.0</v>
      </c>
      <c r="G683" s="74">
        <v>0.0</v>
      </c>
      <c r="H683" s="84">
        <f t="shared" si="1"/>
        <v>450</v>
      </c>
      <c r="I683" s="76" t="str">
        <f t="shared" si="2"/>
        <v>febrero</v>
      </c>
      <c r="J683" s="76">
        <f t="shared" si="3"/>
        <v>2026</v>
      </c>
    </row>
    <row r="684" ht="22.5" customHeight="1">
      <c r="A684" s="69">
        <v>46074.0</v>
      </c>
      <c r="B684" s="70" t="s">
        <v>41</v>
      </c>
      <c r="C684" s="70" t="s">
        <v>143</v>
      </c>
      <c r="D684" s="70" t="s">
        <v>184</v>
      </c>
      <c r="E684" s="84">
        <f t="array" ref="E684">XLOOKUP($D684,concepto_salarios,monto_salarios,0)</f>
        <v>120</v>
      </c>
      <c r="F684" s="72">
        <v>0.0</v>
      </c>
      <c r="G684" s="74">
        <v>0.0</v>
      </c>
      <c r="H684" s="84">
        <f t="shared" si="1"/>
        <v>120</v>
      </c>
      <c r="I684" s="76" t="str">
        <f t="shared" si="2"/>
        <v>febrero</v>
      </c>
      <c r="J684" s="76">
        <f t="shared" si="3"/>
        <v>2026</v>
      </c>
    </row>
    <row r="685" ht="22.5" customHeight="1">
      <c r="A685" s="69">
        <v>46074.0</v>
      </c>
      <c r="B685" s="70" t="s">
        <v>41</v>
      </c>
      <c r="C685" s="70" t="s">
        <v>140</v>
      </c>
      <c r="D685" s="70" t="s">
        <v>146</v>
      </c>
      <c r="E685" s="84">
        <f t="array" ref="E685">XLOOKUP($D685,concepto_salarios,monto_salarios,0)</f>
        <v>450</v>
      </c>
      <c r="F685" s="72">
        <v>0.0</v>
      </c>
      <c r="G685" s="74">
        <v>0.0</v>
      </c>
      <c r="H685" s="84">
        <f t="shared" si="1"/>
        <v>450</v>
      </c>
      <c r="I685" s="76" t="str">
        <f t="shared" si="2"/>
        <v>febrero</v>
      </c>
      <c r="J685" s="76">
        <f t="shared" si="3"/>
        <v>2026</v>
      </c>
    </row>
    <row r="686" ht="22.5" customHeight="1">
      <c r="A686" s="69">
        <v>46074.0</v>
      </c>
      <c r="B686" s="70" t="s">
        <v>70</v>
      </c>
      <c r="C686" s="70" t="s">
        <v>140</v>
      </c>
      <c r="D686" s="70" t="s">
        <v>146</v>
      </c>
      <c r="E686" s="84">
        <f t="array" ref="E686">XLOOKUP($D686,concepto_salarios,monto_salarios,0)</f>
        <v>450</v>
      </c>
      <c r="F686" s="72">
        <v>0.0</v>
      </c>
      <c r="G686" s="74">
        <v>0.0</v>
      </c>
      <c r="H686" s="84">
        <f t="shared" si="1"/>
        <v>450</v>
      </c>
      <c r="I686" s="76" t="str">
        <f t="shared" si="2"/>
        <v>febrero</v>
      </c>
      <c r="J686" s="76">
        <f t="shared" si="3"/>
        <v>2026</v>
      </c>
    </row>
    <row r="687" ht="22.5" customHeight="1">
      <c r="A687" s="69">
        <v>46074.0</v>
      </c>
      <c r="B687" s="70" t="s">
        <v>79</v>
      </c>
      <c r="C687" s="70" t="s">
        <v>140</v>
      </c>
      <c r="D687" s="70" t="s">
        <v>146</v>
      </c>
      <c r="E687" s="84">
        <f t="array" ref="E687">XLOOKUP($D687,concepto_salarios,monto_salarios,0)</f>
        <v>450</v>
      </c>
      <c r="F687" s="72">
        <v>0.0</v>
      </c>
      <c r="G687" s="74">
        <v>0.0</v>
      </c>
      <c r="H687" s="84">
        <f t="shared" si="1"/>
        <v>450</v>
      </c>
      <c r="I687" s="76" t="str">
        <f t="shared" si="2"/>
        <v>febrero</v>
      </c>
      <c r="J687" s="76">
        <f t="shared" si="3"/>
        <v>2026</v>
      </c>
    </row>
    <row r="688" ht="22.5" customHeight="1">
      <c r="A688" s="69">
        <v>46075.0</v>
      </c>
      <c r="B688" s="70" t="s">
        <v>73</v>
      </c>
      <c r="C688" s="70" t="s">
        <v>143</v>
      </c>
      <c r="D688" s="70" t="s">
        <v>206</v>
      </c>
      <c r="E688" s="84">
        <f t="array" ref="E688">XLOOKUP($D688,concepto_salarios,monto_salarios,0)</f>
        <v>200</v>
      </c>
      <c r="F688" s="72">
        <v>0.0</v>
      </c>
      <c r="G688" s="74">
        <v>0.0</v>
      </c>
      <c r="H688" s="84">
        <f t="shared" si="1"/>
        <v>200</v>
      </c>
      <c r="I688" s="76" t="str">
        <f t="shared" si="2"/>
        <v>febrero</v>
      </c>
      <c r="J688" s="76">
        <f t="shared" si="3"/>
        <v>2026</v>
      </c>
    </row>
    <row r="689" ht="22.5" customHeight="1">
      <c r="A689" s="69">
        <v>46075.0</v>
      </c>
      <c r="B689" s="70" t="s">
        <v>73</v>
      </c>
      <c r="C689" s="70" t="s">
        <v>143</v>
      </c>
      <c r="D689" s="70" t="s">
        <v>194</v>
      </c>
      <c r="E689" s="84">
        <f t="array" ref="E689">XLOOKUP($D689,concepto_salarios,monto_salarios,0)</f>
        <v>90</v>
      </c>
      <c r="F689" s="72">
        <v>0.0</v>
      </c>
      <c r="G689" s="74">
        <v>0.0</v>
      </c>
      <c r="H689" s="84">
        <f t="shared" si="1"/>
        <v>90</v>
      </c>
      <c r="I689" s="76" t="str">
        <f t="shared" si="2"/>
        <v>febrero</v>
      </c>
      <c r="J689" s="76">
        <f t="shared" si="3"/>
        <v>2026</v>
      </c>
    </row>
    <row r="690" ht="22.5" customHeight="1">
      <c r="A690" s="69">
        <v>46075.0</v>
      </c>
      <c r="B690" s="70" t="s">
        <v>73</v>
      </c>
      <c r="C690" s="70" t="s">
        <v>143</v>
      </c>
      <c r="D690" s="70" t="s">
        <v>171</v>
      </c>
      <c r="E690" s="84">
        <f t="array" ref="E690">XLOOKUP($D690,concepto_salarios,monto_salarios,0)</f>
        <v>100</v>
      </c>
      <c r="F690" s="72">
        <v>0.0</v>
      </c>
      <c r="G690" s="74">
        <v>0.0</v>
      </c>
      <c r="H690" s="84">
        <f t="shared" si="1"/>
        <v>100</v>
      </c>
      <c r="I690" s="76" t="str">
        <f t="shared" si="2"/>
        <v>febrero</v>
      </c>
      <c r="J690" s="76">
        <f t="shared" si="3"/>
        <v>2026</v>
      </c>
    </row>
    <row r="691" ht="22.5" customHeight="1">
      <c r="A691" s="69">
        <v>46075.0</v>
      </c>
      <c r="B691" s="70" t="s">
        <v>73</v>
      </c>
      <c r="C691" s="70" t="s">
        <v>142</v>
      </c>
      <c r="D691" s="70" t="s">
        <v>248</v>
      </c>
      <c r="E691" s="84">
        <f t="array" ref="E691">XLOOKUP($D691,concepto_salarios,monto_salarios,0)</f>
        <v>100</v>
      </c>
      <c r="F691" s="72">
        <v>0.0</v>
      </c>
      <c r="G691" s="74">
        <v>50.0</v>
      </c>
      <c r="H691" s="84">
        <f t="shared" si="1"/>
        <v>150</v>
      </c>
      <c r="I691" s="76" t="str">
        <f t="shared" si="2"/>
        <v>febrero</v>
      </c>
      <c r="J691" s="76">
        <f t="shared" si="3"/>
        <v>2026</v>
      </c>
    </row>
    <row r="692" ht="22.5" customHeight="1">
      <c r="A692" s="69">
        <v>46075.0</v>
      </c>
      <c r="B692" s="70" t="s">
        <v>46</v>
      </c>
      <c r="C692" s="70" t="s">
        <v>142</v>
      </c>
      <c r="D692" s="70" t="s">
        <v>223</v>
      </c>
      <c r="E692" s="84">
        <f t="array" ref="E692">XLOOKUP($D692,concepto_salarios,monto_salarios,0)</f>
        <v>100</v>
      </c>
      <c r="F692" s="72">
        <v>0.0</v>
      </c>
      <c r="G692" s="74">
        <v>0.0</v>
      </c>
      <c r="H692" s="84">
        <f t="shared" si="1"/>
        <v>100</v>
      </c>
      <c r="I692" s="76" t="str">
        <f t="shared" si="2"/>
        <v>febrero</v>
      </c>
      <c r="J692" s="76">
        <f t="shared" si="3"/>
        <v>2026</v>
      </c>
    </row>
    <row r="693" ht="22.5" customHeight="1">
      <c r="A693" s="69">
        <v>46075.0</v>
      </c>
      <c r="B693" s="70" t="s">
        <v>56</v>
      </c>
      <c r="C693" s="70" t="s">
        <v>142</v>
      </c>
      <c r="D693" s="70" t="s">
        <v>223</v>
      </c>
      <c r="E693" s="84">
        <f t="array" ref="E693">XLOOKUP($D693,concepto_salarios,monto_salarios,0)</f>
        <v>100</v>
      </c>
      <c r="F693" s="72">
        <v>0.0</v>
      </c>
      <c r="G693" s="74">
        <v>0.0</v>
      </c>
      <c r="H693" s="84">
        <f t="shared" si="1"/>
        <v>100</v>
      </c>
      <c r="I693" s="76" t="str">
        <f t="shared" si="2"/>
        <v>febrero</v>
      </c>
      <c r="J693" s="76">
        <f t="shared" si="3"/>
        <v>2026</v>
      </c>
    </row>
    <row r="694" ht="22.5" customHeight="1">
      <c r="A694" s="69">
        <v>46075.0</v>
      </c>
      <c r="B694" s="70" t="s">
        <v>56</v>
      </c>
      <c r="C694" s="92" t="s">
        <v>142</v>
      </c>
      <c r="D694" s="92" t="s">
        <v>248</v>
      </c>
      <c r="E694" s="84">
        <f t="array" ref="E694">XLOOKUP($D694,concepto_salarios,monto_salarios,0)</f>
        <v>100</v>
      </c>
      <c r="F694" s="72">
        <v>50.0</v>
      </c>
      <c r="G694" s="74">
        <v>0.0</v>
      </c>
      <c r="H694" s="84">
        <f t="shared" si="1"/>
        <v>50</v>
      </c>
      <c r="I694" s="76" t="str">
        <f t="shared" si="2"/>
        <v>febrero</v>
      </c>
      <c r="J694" s="76">
        <f t="shared" si="3"/>
        <v>2026</v>
      </c>
    </row>
    <row r="695" ht="22.5" customHeight="1">
      <c r="A695" s="69">
        <v>46076.0</v>
      </c>
      <c r="B695" s="70" t="s">
        <v>41</v>
      </c>
      <c r="C695" s="70" t="s">
        <v>140</v>
      </c>
      <c r="D695" s="70" t="s">
        <v>146</v>
      </c>
      <c r="E695" s="84">
        <f t="array" ref="E695">XLOOKUP($D695,concepto_salarios,monto_salarios,0)</f>
        <v>450</v>
      </c>
      <c r="F695" s="72">
        <v>0.0</v>
      </c>
      <c r="G695" s="74">
        <v>0.0</v>
      </c>
      <c r="H695" s="84">
        <f t="shared" si="1"/>
        <v>450</v>
      </c>
      <c r="I695" s="76" t="str">
        <f t="shared" si="2"/>
        <v>febrero</v>
      </c>
      <c r="J695" s="76">
        <f t="shared" si="3"/>
        <v>2026</v>
      </c>
    </row>
    <row r="696" ht="22.5" customHeight="1">
      <c r="A696" s="69">
        <v>46076.0</v>
      </c>
      <c r="B696" s="70" t="s">
        <v>41</v>
      </c>
      <c r="C696" s="70" t="s">
        <v>143</v>
      </c>
      <c r="D696" s="70" t="s">
        <v>170</v>
      </c>
      <c r="E696" s="84">
        <f t="array" ref="E696">XLOOKUP($D696,concepto_salarios,monto_salarios,0)</f>
        <v>150</v>
      </c>
      <c r="F696" s="72">
        <v>0.0</v>
      </c>
      <c r="G696" s="74">
        <v>0.0</v>
      </c>
      <c r="H696" s="84">
        <f t="shared" si="1"/>
        <v>150</v>
      </c>
      <c r="I696" s="76" t="str">
        <f t="shared" si="2"/>
        <v>febrero</v>
      </c>
      <c r="J696" s="76">
        <f t="shared" si="3"/>
        <v>2026</v>
      </c>
    </row>
    <row r="697" ht="22.5" customHeight="1">
      <c r="A697" s="69">
        <v>46076.0</v>
      </c>
      <c r="B697" s="70" t="s">
        <v>41</v>
      </c>
      <c r="C697" s="70" t="s">
        <v>163</v>
      </c>
      <c r="D697" s="70" t="s">
        <v>256</v>
      </c>
      <c r="E697" s="84">
        <f t="array" ref="E697">XLOOKUP($D697,concepto_salarios,monto_salarios,0)</f>
        <v>250</v>
      </c>
      <c r="F697" s="72">
        <v>0.0</v>
      </c>
      <c r="G697" s="74">
        <v>0.0</v>
      </c>
      <c r="H697" s="84">
        <f t="shared" si="1"/>
        <v>250</v>
      </c>
      <c r="I697" s="76" t="str">
        <f t="shared" si="2"/>
        <v>febrero</v>
      </c>
      <c r="J697" s="76">
        <f t="shared" si="3"/>
        <v>2026</v>
      </c>
    </row>
    <row r="698" ht="22.5" customHeight="1">
      <c r="A698" s="69">
        <v>46076.0</v>
      </c>
      <c r="B698" s="70" t="s">
        <v>41</v>
      </c>
      <c r="C698" s="93" t="s">
        <v>163</v>
      </c>
      <c r="D698" s="93" t="s">
        <v>257</v>
      </c>
      <c r="E698" s="84">
        <f t="array" ref="E698">XLOOKUP($D698,concepto_salarios,monto_salarios,0)</f>
        <v>90</v>
      </c>
      <c r="F698" s="72">
        <v>0.0</v>
      </c>
      <c r="G698" s="74">
        <v>0.0</v>
      </c>
      <c r="H698" s="84">
        <f t="shared" si="1"/>
        <v>90</v>
      </c>
      <c r="I698" s="76" t="str">
        <f t="shared" si="2"/>
        <v>febrero</v>
      </c>
      <c r="J698" s="76">
        <f t="shared" si="3"/>
        <v>2026</v>
      </c>
    </row>
    <row r="699" ht="22.5" customHeight="1">
      <c r="A699" s="69">
        <v>46076.0</v>
      </c>
      <c r="B699" s="70" t="s">
        <v>46</v>
      </c>
      <c r="C699" s="94" t="s">
        <v>143</v>
      </c>
      <c r="D699" s="94" t="s">
        <v>184</v>
      </c>
      <c r="E699" s="84">
        <f t="array" ref="E699">XLOOKUP($D699,concepto_salarios,monto_salarios,0)</f>
        <v>120</v>
      </c>
      <c r="F699" s="72">
        <v>0.0</v>
      </c>
      <c r="G699" s="74">
        <v>0.0</v>
      </c>
      <c r="H699" s="84">
        <f t="shared" si="1"/>
        <v>120</v>
      </c>
      <c r="I699" s="76" t="str">
        <f t="shared" si="2"/>
        <v>febrero</v>
      </c>
      <c r="J699" s="76">
        <f t="shared" si="3"/>
        <v>2026</v>
      </c>
    </row>
    <row r="700" ht="22.5" customHeight="1">
      <c r="A700" s="69">
        <v>46076.0</v>
      </c>
      <c r="B700" s="70" t="s">
        <v>46</v>
      </c>
      <c r="C700" s="95" t="s">
        <v>140</v>
      </c>
      <c r="D700" s="95" t="s">
        <v>146</v>
      </c>
      <c r="E700" s="84">
        <f t="array" ref="E700">XLOOKUP($D700,concepto_salarios,monto_salarios,0)</f>
        <v>450</v>
      </c>
      <c r="F700" s="72">
        <v>0.0</v>
      </c>
      <c r="G700" s="74">
        <v>0.0</v>
      </c>
      <c r="H700" s="84">
        <f t="shared" si="1"/>
        <v>450</v>
      </c>
      <c r="I700" s="76" t="str">
        <f t="shared" si="2"/>
        <v>febrero</v>
      </c>
      <c r="J700" s="76">
        <f t="shared" si="3"/>
        <v>2026</v>
      </c>
    </row>
    <row r="701" ht="22.5" customHeight="1">
      <c r="A701" s="69">
        <v>46076.0</v>
      </c>
      <c r="B701" s="70" t="s">
        <v>46</v>
      </c>
      <c r="C701" s="92" t="s">
        <v>143</v>
      </c>
      <c r="D701" s="92" t="s">
        <v>194</v>
      </c>
      <c r="E701" s="84">
        <f t="array" ref="E701">XLOOKUP($D701,concepto_salarios,monto_salarios,0)</f>
        <v>90</v>
      </c>
      <c r="F701" s="72">
        <v>0.0</v>
      </c>
      <c r="G701" s="74">
        <v>0.0</v>
      </c>
      <c r="H701" s="84">
        <f t="shared" si="1"/>
        <v>90</v>
      </c>
      <c r="I701" s="76" t="str">
        <f t="shared" si="2"/>
        <v>febrero</v>
      </c>
      <c r="J701" s="76">
        <f t="shared" si="3"/>
        <v>2026</v>
      </c>
    </row>
    <row r="702" ht="22.5" customHeight="1">
      <c r="A702" s="69">
        <v>46076.0</v>
      </c>
      <c r="B702" s="70" t="s">
        <v>46</v>
      </c>
      <c r="C702" s="92" t="s">
        <v>143</v>
      </c>
      <c r="D702" s="92" t="s">
        <v>171</v>
      </c>
      <c r="E702" s="84">
        <f t="array" ref="E702">XLOOKUP($D702,concepto_salarios,monto_salarios,0)</f>
        <v>100</v>
      </c>
      <c r="F702" s="72">
        <v>0.0</v>
      </c>
      <c r="G702" s="74">
        <v>0.0</v>
      </c>
      <c r="H702" s="84">
        <f t="shared" si="1"/>
        <v>100</v>
      </c>
      <c r="I702" s="76" t="str">
        <f t="shared" si="2"/>
        <v>febrero</v>
      </c>
      <c r="J702" s="76">
        <f t="shared" si="3"/>
        <v>2026</v>
      </c>
    </row>
    <row r="703" ht="22.5" customHeight="1">
      <c r="A703" s="69">
        <v>46079.0</v>
      </c>
      <c r="B703" s="70" t="s">
        <v>73</v>
      </c>
      <c r="C703" s="92" t="s">
        <v>143</v>
      </c>
      <c r="D703" s="92" t="s">
        <v>258</v>
      </c>
      <c r="E703" s="84">
        <f t="array" ref="E703">XLOOKUP($D703,concepto_salarios,monto_salarios,0)</f>
        <v>240</v>
      </c>
      <c r="F703" s="72">
        <v>0.0</v>
      </c>
      <c r="G703" s="74">
        <v>0.0</v>
      </c>
      <c r="H703" s="84">
        <f t="shared" si="1"/>
        <v>240</v>
      </c>
      <c r="I703" s="76" t="str">
        <f t="shared" si="2"/>
        <v>febrero</v>
      </c>
      <c r="J703" s="76">
        <f t="shared" si="3"/>
        <v>2026</v>
      </c>
    </row>
    <row r="704" ht="22.5" customHeight="1">
      <c r="A704" s="69">
        <v>46081.0</v>
      </c>
      <c r="B704" s="70" t="s">
        <v>73</v>
      </c>
      <c r="C704" s="92" t="s">
        <v>143</v>
      </c>
      <c r="D704" s="92" t="s">
        <v>183</v>
      </c>
      <c r="E704" s="84">
        <f t="array" ref="E704">XLOOKUP($D704,concepto_salarios,monto_salarios,0)</f>
        <v>50</v>
      </c>
      <c r="F704" s="72">
        <v>0.0</v>
      </c>
      <c r="G704" s="74">
        <v>0.0</v>
      </c>
      <c r="H704" s="84">
        <f t="shared" si="1"/>
        <v>50</v>
      </c>
      <c r="I704" s="76" t="str">
        <f t="shared" si="2"/>
        <v>febrero</v>
      </c>
      <c r="J704" s="76">
        <f t="shared" si="3"/>
        <v>2026</v>
      </c>
    </row>
    <row r="705" ht="22.5" customHeight="1">
      <c r="A705" s="69">
        <v>46081.0</v>
      </c>
      <c r="B705" s="70" t="s">
        <v>73</v>
      </c>
      <c r="C705" s="92" t="s">
        <v>143</v>
      </c>
      <c r="D705" s="92" t="s">
        <v>180</v>
      </c>
      <c r="E705" s="84">
        <f t="array" ref="E705">XLOOKUP($D705,concepto_salarios,monto_salarios,0)</f>
        <v>50</v>
      </c>
      <c r="F705" s="72">
        <v>0.0</v>
      </c>
      <c r="G705" s="74">
        <v>0.0</v>
      </c>
      <c r="H705" s="84">
        <f t="shared" si="1"/>
        <v>50</v>
      </c>
      <c r="I705" s="76" t="str">
        <f t="shared" si="2"/>
        <v>febrero</v>
      </c>
      <c r="J705" s="76">
        <f t="shared" si="3"/>
        <v>2026</v>
      </c>
    </row>
    <row r="706" ht="22.5" customHeight="1">
      <c r="A706" s="69">
        <v>46081.0</v>
      </c>
      <c r="B706" s="70" t="s">
        <v>73</v>
      </c>
      <c r="C706" s="92" t="s">
        <v>143</v>
      </c>
      <c r="D706" s="92" t="s">
        <v>166</v>
      </c>
      <c r="E706" s="84">
        <f t="array" ref="E706">XLOOKUP($D706,concepto_salarios,monto_salarios,0)</f>
        <v>90</v>
      </c>
      <c r="F706" s="72">
        <v>0.0</v>
      </c>
      <c r="G706" s="74">
        <v>0.0</v>
      </c>
      <c r="H706" s="84">
        <f t="array" ref="H706">XLOOKUP($D706,concepto_salarios,monto_salarios,0)</f>
        <v>90</v>
      </c>
      <c r="I706" s="76" t="str">
        <f t="shared" si="2"/>
        <v>febrero</v>
      </c>
      <c r="J706" s="76">
        <f t="shared" si="3"/>
        <v>2026</v>
      </c>
    </row>
    <row r="707" ht="22.5" customHeight="1">
      <c r="A707" s="69">
        <v>46081.0</v>
      </c>
      <c r="B707" s="70" t="s">
        <v>73</v>
      </c>
      <c r="C707" s="92" t="s">
        <v>143</v>
      </c>
      <c r="D707" s="92" t="s">
        <v>170</v>
      </c>
      <c r="E707" s="84">
        <f t="array" ref="E707">XLOOKUP($D707,concepto_salarios,monto_salarios,0)</f>
        <v>150</v>
      </c>
      <c r="F707" s="72">
        <v>0.0</v>
      </c>
      <c r="G707" s="74">
        <v>0.0</v>
      </c>
      <c r="H707" s="84">
        <f t="shared" ref="H707:H710" si="4">E707-F707+G707</f>
        <v>150</v>
      </c>
      <c r="I707" s="76" t="str">
        <f t="shared" si="2"/>
        <v>febrero</v>
      </c>
      <c r="J707" s="76">
        <f t="shared" si="3"/>
        <v>2026</v>
      </c>
    </row>
    <row r="708" ht="22.5" customHeight="1">
      <c r="A708" s="69">
        <v>46081.0</v>
      </c>
      <c r="B708" s="70" t="s">
        <v>73</v>
      </c>
      <c r="C708" s="92" t="s">
        <v>140</v>
      </c>
      <c r="D708" s="92" t="s">
        <v>146</v>
      </c>
      <c r="E708" s="84">
        <f t="array" ref="E708">XLOOKUP($D708,concepto_salarios,monto_salarios,0)</f>
        <v>450</v>
      </c>
      <c r="F708" s="72">
        <v>0.0</v>
      </c>
      <c r="G708" s="74">
        <v>0.0</v>
      </c>
      <c r="H708" s="84">
        <f t="shared" si="4"/>
        <v>450</v>
      </c>
      <c r="I708" s="76" t="str">
        <f t="shared" si="2"/>
        <v>febrero</v>
      </c>
      <c r="J708" s="76">
        <f t="shared" si="3"/>
        <v>2026</v>
      </c>
    </row>
    <row r="709" ht="22.5" customHeight="1">
      <c r="A709" s="69">
        <v>46081.0</v>
      </c>
      <c r="B709" s="70" t="s">
        <v>79</v>
      </c>
      <c r="C709" s="92" t="s">
        <v>143</v>
      </c>
      <c r="D709" s="92" t="s">
        <v>183</v>
      </c>
      <c r="E709" s="84">
        <f t="array" ref="E709">XLOOKUP($D709,concepto_salarios,monto_salarios,0)</f>
        <v>50</v>
      </c>
      <c r="F709" s="72">
        <v>0.0</v>
      </c>
      <c r="G709" s="74">
        <v>0.0</v>
      </c>
      <c r="H709" s="84">
        <f t="shared" si="4"/>
        <v>50</v>
      </c>
      <c r="I709" s="76" t="str">
        <f t="shared" si="2"/>
        <v>febrero</v>
      </c>
      <c r="J709" s="76">
        <f t="shared" si="3"/>
        <v>2026</v>
      </c>
    </row>
    <row r="710" ht="22.5" customHeight="1">
      <c r="A710" s="69">
        <v>46081.0</v>
      </c>
      <c r="B710" s="70" t="s">
        <v>79</v>
      </c>
      <c r="C710" s="92" t="s">
        <v>143</v>
      </c>
      <c r="D710" s="92" t="s">
        <v>180</v>
      </c>
      <c r="E710" s="84">
        <f t="array" ref="E710">XLOOKUP($D710,concepto_salarios,monto_salarios,0)</f>
        <v>50</v>
      </c>
      <c r="F710" s="72">
        <v>0.0</v>
      </c>
      <c r="G710" s="74">
        <v>0.0</v>
      </c>
      <c r="H710" s="84">
        <f t="shared" si="4"/>
        <v>50</v>
      </c>
      <c r="I710" s="76" t="str">
        <f t="shared" si="2"/>
        <v>febrero</v>
      </c>
      <c r="J710" s="76">
        <f t="shared" si="3"/>
        <v>2026</v>
      </c>
    </row>
    <row r="711" ht="22.5" customHeight="1">
      <c r="A711" s="69">
        <v>46081.0</v>
      </c>
      <c r="B711" s="70" t="s">
        <v>79</v>
      </c>
      <c r="C711" s="92" t="s">
        <v>143</v>
      </c>
      <c r="D711" s="92" t="s">
        <v>166</v>
      </c>
      <c r="E711" s="84">
        <f t="array" ref="E711">XLOOKUP($D711,concepto_salarios,monto_salarios,0)</f>
        <v>90</v>
      </c>
      <c r="F711" s="72">
        <v>0.0</v>
      </c>
      <c r="G711" s="74">
        <v>0.0</v>
      </c>
      <c r="H711" s="84">
        <f t="array" ref="H711">XLOOKUP($D711,concepto_salarios,monto_salarios,0)</f>
        <v>90</v>
      </c>
      <c r="I711" s="76" t="str">
        <f t="shared" si="2"/>
        <v>febrero</v>
      </c>
      <c r="J711" s="76">
        <f t="shared" si="3"/>
        <v>2026</v>
      </c>
    </row>
    <row r="712" ht="22.5" customHeight="1">
      <c r="A712" s="69">
        <v>46081.0</v>
      </c>
      <c r="B712" s="70" t="s">
        <v>79</v>
      </c>
      <c r="C712" s="92" t="s">
        <v>143</v>
      </c>
      <c r="D712" s="92" t="s">
        <v>170</v>
      </c>
      <c r="E712" s="84">
        <f t="array" ref="E712">XLOOKUP($D712,concepto_salarios,monto_salarios,0)</f>
        <v>150</v>
      </c>
      <c r="F712" s="72">
        <v>0.0</v>
      </c>
      <c r="G712" s="74">
        <v>0.0</v>
      </c>
      <c r="H712" s="84">
        <f t="shared" ref="H712:H715" si="5">E712-F712+G712</f>
        <v>150</v>
      </c>
      <c r="I712" s="76" t="str">
        <f t="shared" si="2"/>
        <v>febrero</v>
      </c>
      <c r="J712" s="76">
        <f t="shared" si="3"/>
        <v>2026</v>
      </c>
    </row>
    <row r="713" ht="22.5" customHeight="1">
      <c r="A713" s="69">
        <v>46081.0</v>
      </c>
      <c r="B713" s="70" t="s">
        <v>79</v>
      </c>
      <c r="C713" s="92" t="s">
        <v>140</v>
      </c>
      <c r="D713" s="92" t="s">
        <v>146</v>
      </c>
      <c r="E713" s="84">
        <f t="array" ref="E713">XLOOKUP($D713,concepto_salarios,monto_salarios,0)</f>
        <v>450</v>
      </c>
      <c r="F713" s="72">
        <v>0.0</v>
      </c>
      <c r="G713" s="74">
        <v>0.0</v>
      </c>
      <c r="H713" s="84">
        <f t="shared" si="5"/>
        <v>450</v>
      </c>
      <c r="I713" s="76" t="str">
        <f t="shared" si="2"/>
        <v>febrero</v>
      </c>
      <c r="J713" s="76">
        <f t="shared" si="3"/>
        <v>2026</v>
      </c>
    </row>
    <row r="714" ht="22.5" customHeight="1">
      <c r="A714" s="69">
        <v>46082.0</v>
      </c>
      <c r="B714" s="70" t="s">
        <v>73</v>
      </c>
      <c r="C714" s="92" t="s">
        <v>143</v>
      </c>
      <c r="D714" s="92" t="s">
        <v>179</v>
      </c>
      <c r="E714" s="84">
        <f t="array" ref="E714">XLOOKUP($D714,concepto_salarios,monto_salarios,0)</f>
        <v>50</v>
      </c>
      <c r="F714" s="72">
        <v>0.0</v>
      </c>
      <c r="G714" s="74">
        <v>0.0</v>
      </c>
      <c r="H714" s="84">
        <f t="shared" si="5"/>
        <v>50</v>
      </c>
      <c r="I714" s="76" t="str">
        <f t="shared" si="2"/>
        <v>marzo</v>
      </c>
      <c r="J714" s="76">
        <f t="shared" si="3"/>
        <v>2026</v>
      </c>
    </row>
    <row r="715" ht="22.5" customHeight="1">
      <c r="A715" s="69">
        <v>46082.0</v>
      </c>
      <c r="B715" s="70" t="s">
        <v>73</v>
      </c>
      <c r="C715" s="92" t="s">
        <v>143</v>
      </c>
      <c r="D715" s="92" t="s">
        <v>237</v>
      </c>
      <c r="E715" s="84">
        <f t="array" ref="E715">XLOOKUP($D715,concepto_salarios,monto_salarios,0)</f>
        <v>45</v>
      </c>
      <c r="F715" s="72">
        <v>0.0</v>
      </c>
      <c r="G715" s="74">
        <v>0.0</v>
      </c>
      <c r="H715" s="84">
        <f t="shared" si="5"/>
        <v>45</v>
      </c>
      <c r="I715" s="76" t="str">
        <f t="shared" si="2"/>
        <v>marzo</v>
      </c>
      <c r="J715" s="76">
        <f t="shared" si="3"/>
        <v>2026</v>
      </c>
    </row>
    <row r="716" ht="22.5" customHeight="1">
      <c r="A716" s="69">
        <v>46082.0</v>
      </c>
      <c r="B716" s="70" t="s">
        <v>73</v>
      </c>
      <c r="C716" s="92" t="s">
        <v>143</v>
      </c>
      <c r="D716" s="92" t="s">
        <v>192</v>
      </c>
      <c r="E716" s="84">
        <f t="array" ref="E716">XLOOKUP($D716,concepto_salarios,monto_salarios,0)</f>
        <v>50</v>
      </c>
      <c r="F716" s="72">
        <v>0.0</v>
      </c>
      <c r="G716" s="74">
        <v>0.0</v>
      </c>
      <c r="H716" s="84">
        <f t="array" ref="H716">XLOOKUP($D716,concepto_salarios,monto_salarios,0)</f>
        <v>50</v>
      </c>
      <c r="I716" s="76" t="str">
        <f t="shared" si="2"/>
        <v>marzo</v>
      </c>
      <c r="J716" s="76">
        <f t="shared" si="3"/>
        <v>2026</v>
      </c>
    </row>
    <row r="717" ht="22.5" customHeight="1">
      <c r="A717" s="69">
        <v>46082.0</v>
      </c>
      <c r="B717" s="70" t="s">
        <v>73</v>
      </c>
      <c r="C717" s="92" t="s">
        <v>143</v>
      </c>
      <c r="D717" s="92" t="s">
        <v>249</v>
      </c>
      <c r="E717" s="84">
        <f t="array" ref="E717">XLOOKUP($D717,concepto_salarios,monto_salarios,0)</f>
        <v>50</v>
      </c>
      <c r="F717" s="72">
        <v>0.0</v>
      </c>
      <c r="G717" s="74">
        <v>0.0</v>
      </c>
      <c r="H717" s="84">
        <f t="shared" ref="H717:H720" si="6">E717-F717+G717</f>
        <v>50</v>
      </c>
      <c r="I717" s="76" t="str">
        <f t="shared" si="2"/>
        <v>marzo</v>
      </c>
      <c r="J717" s="76">
        <f t="shared" si="3"/>
        <v>2026</v>
      </c>
    </row>
    <row r="718" ht="22.5" customHeight="1">
      <c r="A718" s="69">
        <v>46082.0</v>
      </c>
      <c r="B718" s="70" t="s">
        <v>73</v>
      </c>
      <c r="C718" s="92" t="s">
        <v>140</v>
      </c>
      <c r="D718" s="92" t="s">
        <v>141</v>
      </c>
      <c r="E718" s="84">
        <f t="array" ref="E718">XLOOKUP($D718,concepto_salarios,monto_salarios,0)</f>
        <v>250</v>
      </c>
      <c r="F718" s="72">
        <v>0.0</v>
      </c>
      <c r="G718" s="74">
        <v>0.0</v>
      </c>
      <c r="H718" s="84">
        <f t="shared" si="6"/>
        <v>250</v>
      </c>
      <c r="I718" s="76" t="str">
        <f t="shared" si="2"/>
        <v>marzo</v>
      </c>
      <c r="J718" s="76">
        <f t="shared" si="3"/>
        <v>2026</v>
      </c>
    </row>
    <row r="719" ht="22.5" customHeight="1">
      <c r="A719" s="69">
        <v>46082.0</v>
      </c>
      <c r="B719" s="70" t="s">
        <v>79</v>
      </c>
      <c r="C719" s="92" t="s">
        <v>143</v>
      </c>
      <c r="D719" s="92" t="s">
        <v>179</v>
      </c>
      <c r="E719" s="84">
        <f t="array" ref="E719">XLOOKUP($D719,concepto_salarios,monto_salarios,0)</f>
        <v>50</v>
      </c>
      <c r="F719" s="72">
        <v>0.0</v>
      </c>
      <c r="G719" s="74">
        <v>0.0</v>
      </c>
      <c r="H719" s="84">
        <f t="shared" si="6"/>
        <v>50</v>
      </c>
      <c r="I719" s="76" t="str">
        <f t="shared" si="2"/>
        <v>marzo</v>
      </c>
      <c r="J719" s="76">
        <f t="shared" si="3"/>
        <v>2026</v>
      </c>
    </row>
    <row r="720" ht="22.5" customHeight="1">
      <c r="A720" s="69">
        <v>46082.0</v>
      </c>
      <c r="B720" s="70" t="s">
        <v>79</v>
      </c>
      <c r="C720" s="92" t="s">
        <v>143</v>
      </c>
      <c r="D720" s="92" t="s">
        <v>237</v>
      </c>
      <c r="E720" s="84">
        <f t="array" ref="E720">XLOOKUP($D720,concepto_salarios,monto_salarios,0)</f>
        <v>45</v>
      </c>
      <c r="F720" s="72">
        <v>0.0</v>
      </c>
      <c r="G720" s="74">
        <v>0.0</v>
      </c>
      <c r="H720" s="84">
        <f t="shared" si="6"/>
        <v>45</v>
      </c>
      <c r="I720" s="76" t="str">
        <f t="shared" si="2"/>
        <v>marzo</v>
      </c>
      <c r="J720" s="76">
        <f t="shared" si="3"/>
        <v>2026</v>
      </c>
    </row>
    <row r="721" ht="22.5" customHeight="1">
      <c r="A721" s="69">
        <v>46082.0</v>
      </c>
      <c r="B721" s="70" t="s">
        <v>79</v>
      </c>
      <c r="C721" s="92" t="s">
        <v>143</v>
      </c>
      <c r="D721" s="92" t="s">
        <v>192</v>
      </c>
      <c r="E721" s="84">
        <f t="array" ref="E721">XLOOKUP($D721,concepto_salarios,monto_salarios,0)</f>
        <v>50</v>
      </c>
      <c r="F721" s="72">
        <v>0.0</v>
      </c>
      <c r="G721" s="74">
        <v>0.0</v>
      </c>
      <c r="H721" s="84">
        <f t="array" ref="H721">XLOOKUP($D721,concepto_salarios,monto_salarios,0)</f>
        <v>50</v>
      </c>
      <c r="I721" s="76" t="str">
        <f t="shared" si="2"/>
        <v>marzo</v>
      </c>
      <c r="J721" s="76">
        <f t="shared" si="3"/>
        <v>2026</v>
      </c>
    </row>
    <row r="722" ht="22.5" customHeight="1">
      <c r="A722" s="69">
        <v>46082.0</v>
      </c>
      <c r="B722" s="70" t="s">
        <v>79</v>
      </c>
      <c r="C722" s="92" t="s">
        <v>143</v>
      </c>
      <c r="D722" s="92" t="s">
        <v>249</v>
      </c>
      <c r="E722" s="84">
        <f t="array" ref="E722">XLOOKUP($D722,concepto_salarios,monto_salarios,0)</f>
        <v>50</v>
      </c>
      <c r="F722" s="72">
        <v>0.0</v>
      </c>
      <c r="G722" s="74">
        <v>0.0</v>
      </c>
      <c r="H722" s="84">
        <f t="shared" ref="H722:H732" si="7">E722-F722+G722</f>
        <v>50</v>
      </c>
      <c r="I722" s="76" t="str">
        <f t="shared" si="2"/>
        <v>marzo</v>
      </c>
      <c r="J722" s="76">
        <f t="shared" si="3"/>
        <v>2026</v>
      </c>
    </row>
    <row r="723" ht="22.5" customHeight="1">
      <c r="A723" s="69">
        <v>46082.0</v>
      </c>
      <c r="B723" s="70" t="s">
        <v>79</v>
      </c>
      <c r="C723" s="92" t="s">
        <v>140</v>
      </c>
      <c r="D723" s="92" t="s">
        <v>141</v>
      </c>
      <c r="E723" s="84">
        <f t="array" ref="E723">XLOOKUP($D723,concepto_salarios,monto_salarios,0)</f>
        <v>250</v>
      </c>
      <c r="F723" s="72">
        <v>0.0</v>
      </c>
      <c r="G723" s="74">
        <v>0.0</v>
      </c>
      <c r="H723" s="84">
        <f t="shared" si="7"/>
        <v>250</v>
      </c>
      <c r="I723" s="76" t="str">
        <f t="shared" si="2"/>
        <v>marzo</v>
      </c>
      <c r="J723" s="76">
        <f t="shared" si="3"/>
        <v>2026</v>
      </c>
    </row>
    <row r="724" ht="22.5" customHeight="1">
      <c r="A724" s="69">
        <v>46082.0</v>
      </c>
      <c r="B724" s="70" t="s">
        <v>41</v>
      </c>
      <c r="C724" s="92" t="s">
        <v>143</v>
      </c>
      <c r="D724" s="92" t="s">
        <v>259</v>
      </c>
      <c r="E724" s="84">
        <f t="array" ref="E724">XLOOKUP($D724,concepto_salarios,monto_salarios,0)</f>
        <v>60</v>
      </c>
      <c r="F724" s="72">
        <v>0.0</v>
      </c>
      <c r="G724" s="74">
        <v>0.0</v>
      </c>
      <c r="H724" s="84">
        <f t="shared" si="7"/>
        <v>60</v>
      </c>
      <c r="I724" s="76" t="str">
        <f t="shared" si="2"/>
        <v>marzo</v>
      </c>
      <c r="J724" s="76">
        <f t="shared" si="3"/>
        <v>2026</v>
      </c>
    </row>
    <row r="725" ht="22.5" customHeight="1">
      <c r="A725" s="69"/>
      <c r="B725" s="70"/>
      <c r="C725" s="92"/>
      <c r="D725" s="92"/>
      <c r="E725" s="84">
        <f t="array" ref="E725">XLOOKUP($D725,concepto_salarios,monto_salarios,0)</f>
        <v>0</v>
      </c>
      <c r="F725" s="72"/>
      <c r="G725" s="74"/>
      <c r="H725" s="84">
        <f t="shared" si="7"/>
        <v>0</v>
      </c>
      <c r="I725" s="76" t="str">
        <f t="shared" si="2"/>
        <v/>
      </c>
      <c r="J725" s="76" t="str">
        <f t="shared" si="3"/>
        <v/>
      </c>
    </row>
    <row r="726" ht="22.5" customHeight="1">
      <c r="A726" s="69"/>
      <c r="B726" s="70"/>
      <c r="C726" s="95"/>
      <c r="D726" s="95"/>
      <c r="E726" s="84">
        <f t="array" ref="E726">XLOOKUP($D726,concepto_salarios,monto_salarios,0)</f>
        <v>0</v>
      </c>
      <c r="F726" s="72"/>
      <c r="G726" s="74"/>
      <c r="H726" s="84">
        <f t="shared" si="7"/>
        <v>0</v>
      </c>
      <c r="I726" s="76" t="str">
        <f t="shared" si="2"/>
        <v/>
      </c>
      <c r="J726" s="76" t="str">
        <f t="shared" si="3"/>
        <v/>
      </c>
    </row>
    <row r="727" ht="22.5" customHeight="1">
      <c r="A727" s="69"/>
      <c r="B727" s="70"/>
      <c r="C727" s="95"/>
      <c r="D727" s="95"/>
      <c r="E727" s="84">
        <f t="array" ref="E727">XLOOKUP($D727,concepto_salarios,monto_salarios,0)</f>
        <v>0</v>
      </c>
      <c r="F727" s="72"/>
      <c r="G727" s="74"/>
      <c r="H727" s="84">
        <f t="shared" si="7"/>
        <v>0</v>
      </c>
      <c r="I727" s="76" t="str">
        <f t="shared" si="2"/>
        <v/>
      </c>
      <c r="J727" s="76" t="str">
        <f t="shared" si="3"/>
        <v/>
      </c>
    </row>
    <row r="728" ht="22.5" customHeight="1">
      <c r="A728" s="69"/>
      <c r="B728" s="70"/>
      <c r="C728" s="95"/>
      <c r="D728" s="95"/>
      <c r="E728" s="84">
        <f t="array" ref="E728">XLOOKUP($D728,concepto_salarios,monto_salarios,0)</f>
        <v>0</v>
      </c>
      <c r="F728" s="72"/>
      <c r="G728" s="74"/>
      <c r="H728" s="84">
        <f t="shared" si="7"/>
        <v>0</v>
      </c>
      <c r="I728" s="76" t="str">
        <f t="shared" si="2"/>
        <v/>
      </c>
      <c r="J728" s="76" t="str">
        <f t="shared" si="3"/>
        <v/>
      </c>
    </row>
    <row r="729" ht="22.5" customHeight="1">
      <c r="A729" s="69"/>
      <c r="B729" s="70"/>
      <c r="C729" s="95"/>
      <c r="D729" s="95"/>
      <c r="E729" s="84">
        <f t="array" ref="E729">XLOOKUP($D729,concepto_salarios,monto_salarios,0)</f>
        <v>0</v>
      </c>
      <c r="F729" s="72"/>
      <c r="G729" s="74"/>
      <c r="H729" s="84">
        <f t="shared" si="7"/>
        <v>0</v>
      </c>
      <c r="I729" s="76" t="str">
        <f t="shared" si="2"/>
        <v/>
      </c>
      <c r="J729" s="76" t="str">
        <f t="shared" si="3"/>
        <v/>
      </c>
    </row>
    <row r="730" ht="22.5" customHeight="1">
      <c r="A730" s="69"/>
      <c r="B730" s="70"/>
      <c r="C730" s="95"/>
      <c r="D730" s="95"/>
      <c r="E730" s="84">
        <f t="array" ref="E730">XLOOKUP($D730,concepto_salarios,monto_salarios,0)</f>
        <v>0</v>
      </c>
      <c r="F730" s="72"/>
      <c r="G730" s="74"/>
      <c r="H730" s="84">
        <f t="shared" si="7"/>
        <v>0</v>
      </c>
      <c r="I730" s="76" t="str">
        <f t="shared" si="2"/>
        <v/>
      </c>
      <c r="J730" s="76" t="str">
        <f t="shared" si="3"/>
        <v/>
      </c>
    </row>
    <row r="731" ht="22.5" customHeight="1">
      <c r="A731" s="69"/>
      <c r="B731" s="70"/>
      <c r="C731" s="70"/>
      <c r="D731" s="70"/>
      <c r="E731" s="84">
        <f t="array" ref="E731">XLOOKUP($D731,concepto_salarios,monto_salarios,0)</f>
        <v>0</v>
      </c>
      <c r="F731" s="72"/>
      <c r="G731" s="74"/>
      <c r="H731" s="84">
        <f t="shared" si="7"/>
        <v>0</v>
      </c>
      <c r="I731" s="76" t="str">
        <f t="shared" si="2"/>
        <v/>
      </c>
      <c r="J731" s="76" t="str">
        <f t="shared" si="3"/>
        <v/>
      </c>
    </row>
    <row r="732" ht="22.5" customHeight="1">
      <c r="A732" s="96"/>
      <c r="B732" s="97"/>
      <c r="C732" s="97"/>
      <c r="D732" s="97"/>
      <c r="E732" s="98">
        <f t="array" ref="E732">XLOOKUP($D732,concepto_salarios,monto_salarios,0)</f>
        <v>0</v>
      </c>
      <c r="F732" s="99">
        <v>0.0</v>
      </c>
      <c r="G732" s="100"/>
      <c r="H732" s="98">
        <f t="shared" si="7"/>
        <v>0</v>
      </c>
      <c r="I732" s="76" t="str">
        <f t="shared" si="2"/>
        <v/>
      </c>
      <c r="J732" s="76" t="str">
        <f t="shared" si="3"/>
        <v/>
      </c>
    </row>
    <row r="733">
      <c r="E733" s="87"/>
      <c r="F733" s="87"/>
      <c r="G733" s="46"/>
    </row>
    <row r="734">
      <c r="E734" s="87"/>
      <c r="F734" s="87"/>
      <c r="G734" s="46"/>
    </row>
    <row r="735">
      <c r="E735" s="87"/>
      <c r="F735" s="87"/>
      <c r="G735" s="46"/>
    </row>
    <row r="736">
      <c r="E736" s="87"/>
      <c r="F736" s="87"/>
      <c r="G736" s="46"/>
    </row>
    <row r="737">
      <c r="E737" s="87"/>
      <c r="F737" s="87"/>
      <c r="G737" s="46"/>
    </row>
    <row r="738">
      <c r="E738" s="87"/>
      <c r="F738" s="87"/>
      <c r="G738" s="46"/>
    </row>
    <row r="739">
      <c r="E739" s="87"/>
      <c r="F739" s="87"/>
      <c r="G739" s="46"/>
    </row>
    <row r="740">
      <c r="E740" s="87"/>
      <c r="F740" s="87"/>
      <c r="G740" s="46"/>
    </row>
    <row r="741">
      <c r="E741" s="87"/>
      <c r="F741" s="87"/>
      <c r="G741" s="46"/>
    </row>
    <row r="742">
      <c r="E742" s="87"/>
      <c r="F742" s="87"/>
      <c r="G742" s="46"/>
    </row>
    <row r="743">
      <c r="E743" s="87"/>
      <c r="F743" s="87"/>
      <c r="G743" s="46"/>
    </row>
    <row r="744">
      <c r="E744" s="87"/>
      <c r="F744" s="87"/>
      <c r="G744" s="46"/>
    </row>
    <row r="745">
      <c r="E745" s="87"/>
      <c r="F745" s="87"/>
      <c r="G745" s="46"/>
    </row>
    <row r="746">
      <c r="E746" s="87"/>
      <c r="F746" s="87"/>
      <c r="G746" s="46"/>
    </row>
    <row r="747">
      <c r="E747" s="87"/>
      <c r="F747" s="87"/>
      <c r="G747" s="46"/>
    </row>
    <row r="748">
      <c r="E748" s="87"/>
      <c r="F748" s="87"/>
      <c r="G748" s="46"/>
    </row>
    <row r="749">
      <c r="E749" s="87"/>
      <c r="F749" s="87"/>
      <c r="G749" s="46"/>
    </row>
    <row r="750">
      <c r="E750" s="87"/>
      <c r="F750" s="87"/>
      <c r="G750" s="46"/>
    </row>
    <row r="751">
      <c r="E751" s="87"/>
      <c r="F751" s="87"/>
      <c r="G751" s="46"/>
    </row>
    <row r="752">
      <c r="E752" s="87"/>
      <c r="F752" s="87"/>
      <c r="G752" s="46"/>
    </row>
    <row r="753">
      <c r="E753" s="87"/>
      <c r="F753" s="87"/>
      <c r="G753" s="46"/>
    </row>
    <row r="754">
      <c r="E754" s="87"/>
      <c r="F754" s="87"/>
      <c r="G754" s="46"/>
    </row>
    <row r="755">
      <c r="E755" s="87"/>
      <c r="F755" s="87"/>
      <c r="G755" s="46"/>
    </row>
    <row r="756">
      <c r="E756" s="87"/>
      <c r="F756" s="87"/>
      <c r="G756" s="46"/>
    </row>
    <row r="757">
      <c r="E757" s="87"/>
      <c r="F757" s="87"/>
      <c r="G757" s="46"/>
    </row>
    <row r="758">
      <c r="E758" s="87"/>
      <c r="F758" s="87"/>
      <c r="G758" s="46"/>
    </row>
    <row r="759">
      <c r="E759" s="87"/>
      <c r="F759" s="87"/>
      <c r="G759" s="46"/>
    </row>
    <row r="760">
      <c r="E760" s="87"/>
      <c r="F760" s="87"/>
      <c r="G760" s="46"/>
    </row>
    <row r="761">
      <c r="E761" s="87"/>
      <c r="F761" s="87"/>
      <c r="G761" s="46"/>
    </row>
    <row r="762">
      <c r="E762" s="87"/>
      <c r="F762" s="87"/>
      <c r="G762" s="46"/>
    </row>
    <row r="763">
      <c r="E763" s="87"/>
      <c r="F763" s="87"/>
      <c r="G763" s="46"/>
    </row>
    <row r="764">
      <c r="E764" s="87"/>
      <c r="F764" s="87"/>
      <c r="G764" s="46"/>
    </row>
    <row r="765">
      <c r="E765" s="87"/>
      <c r="F765" s="87"/>
      <c r="G765" s="46"/>
    </row>
    <row r="766">
      <c r="E766" s="87"/>
      <c r="F766" s="87"/>
      <c r="G766" s="46"/>
    </row>
    <row r="767">
      <c r="E767" s="87"/>
      <c r="F767" s="87"/>
      <c r="G767" s="46"/>
    </row>
    <row r="768">
      <c r="E768" s="87"/>
      <c r="F768" s="87"/>
      <c r="G768" s="46"/>
    </row>
    <row r="769">
      <c r="E769" s="87"/>
      <c r="F769" s="87"/>
      <c r="G769" s="46"/>
    </row>
    <row r="770">
      <c r="E770" s="87"/>
      <c r="F770" s="87"/>
      <c r="G770" s="46"/>
    </row>
    <row r="771">
      <c r="E771" s="87"/>
      <c r="F771" s="87"/>
      <c r="G771" s="46"/>
    </row>
    <row r="772">
      <c r="E772" s="87"/>
      <c r="F772" s="87"/>
      <c r="G772" s="46"/>
    </row>
    <row r="773">
      <c r="E773" s="87"/>
      <c r="F773" s="87"/>
      <c r="G773" s="46"/>
    </row>
    <row r="774">
      <c r="E774" s="87"/>
      <c r="F774" s="87"/>
      <c r="G774" s="46"/>
    </row>
    <row r="775">
      <c r="E775" s="87"/>
      <c r="F775" s="87"/>
      <c r="G775" s="46"/>
    </row>
    <row r="776">
      <c r="E776" s="87"/>
      <c r="F776" s="87"/>
      <c r="G776" s="46"/>
    </row>
    <row r="777">
      <c r="E777" s="87"/>
      <c r="F777" s="87"/>
      <c r="G777" s="46"/>
    </row>
    <row r="778">
      <c r="E778" s="87"/>
      <c r="F778" s="87"/>
      <c r="G778" s="46"/>
    </row>
    <row r="779">
      <c r="E779" s="87"/>
      <c r="F779" s="87"/>
      <c r="G779" s="46"/>
    </row>
    <row r="780">
      <c r="E780" s="87"/>
      <c r="F780" s="87"/>
      <c r="G780" s="46"/>
    </row>
    <row r="781">
      <c r="E781" s="87"/>
      <c r="F781" s="87"/>
      <c r="G781" s="46"/>
    </row>
    <row r="782">
      <c r="E782" s="87"/>
      <c r="F782" s="87"/>
      <c r="G782" s="46"/>
    </row>
    <row r="783">
      <c r="E783" s="87"/>
      <c r="F783" s="87"/>
      <c r="G783" s="46"/>
    </row>
    <row r="784">
      <c r="E784" s="87"/>
      <c r="F784" s="87"/>
      <c r="G784" s="46"/>
    </row>
    <row r="785">
      <c r="E785" s="87"/>
      <c r="F785" s="87"/>
      <c r="G785" s="46"/>
    </row>
    <row r="786">
      <c r="E786" s="87"/>
      <c r="F786" s="87"/>
      <c r="G786" s="46"/>
    </row>
    <row r="787">
      <c r="E787" s="87"/>
      <c r="F787" s="87"/>
      <c r="G787" s="46"/>
    </row>
    <row r="788">
      <c r="E788" s="87"/>
      <c r="F788" s="87"/>
      <c r="G788" s="46"/>
    </row>
    <row r="789">
      <c r="E789" s="87"/>
      <c r="F789" s="87"/>
      <c r="G789" s="46"/>
    </row>
    <row r="790">
      <c r="E790" s="87"/>
      <c r="F790" s="87"/>
      <c r="G790" s="46"/>
    </row>
    <row r="791">
      <c r="E791" s="87"/>
      <c r="F791" s="87"/>
      <c r="G791" s="46"/>
    </row>
    <row r="792">
      <c r="E792" s="87"/>
      <c r="F792" s="87"/>
      <c r="G792" s="46"/>
    </row>
    <row r="793">
      <c r="E793" s="87"/>
      <c r="F793" s="87"/>
      <c r="G793" s="46"/>
    </row>
    <row r="794">
      <c r="E794" s="87"/>
      <c r="F794" s="87"/>
      <c r="G794" s="46"/>
    </row>
    <row r="795">
      <c r="E795" s="87"/>
      <c r="F795" s="87"/>
      <c r="G795" s="46"/>
    </row>
    <row r="796">
      <c r="E796" s="87"/>
      <c r="F796" s="87"/>
      <c r="G796" s="46"/>
    </row>
    <row r="797">
      <c r="E797" s="87"/>
      <c r="F797" s="87"/>
      <c r="G797" s="46"/>
    </row>
    <row r="798">
      <c r="E798" s="87"/>
      <c r="F798" s="87"/>
      <c r="G798" s="46"/>
    </row>
    <row r="799">
      <c r="E799" s="87"/>
      <c r="F799" s="87"/>
      <c r="G799" s="46"/>
    </row>
    <row r="800">
      <c r="E800" s="87"/>
      <c r="F800" s="87"/>
      <c r="G800" s="46"/>
    </row>
    <row r="801">
      <c r="E801" s="87"/>
      <c r="F801" s="87"/>
      <c r="G801" s="46"/>
    </row>
    <row r="802">
      <c r="E802" s="87"/>
      <c r="F802" s="87"/>
      <c r="G802" s="46"/>
    </row>
    <row r="803">
      <c r="E803" s="87"/>
      <c r="F803" s="87"/>
      <c r="G803" s="46"/>
    </row>
    <row r="804">
      <c r="E804" s="87"/>
      <c r="F804" s="87"/>
      <c r="G804" s="46"/>
    </row>
    <row r="805">
      <c r="E805" s="87"/>
      <c r="F805" s="87"/>
      <c r="G805" s="46"/>
    </row>
    <row r="806">
      <c r="E806" s="87"/>
      <c r="F806" s="87"/>
      <c r="G806" s="46"/>
    </row>
    <row r="807">
      <c r="E807" s="87"/>
      <c r="F807" s="87"/>
      <c r="G807" s="46"/>
    </row>
    <row r="808">
      <c r="E808" s="87"/>
      <c r="F808" s="87"/>
      <c r="G808" s="46"/>
    </row>
    <row r="809">
      <c r="E809" s="87"/>
      <c r="F809" s="87"/>
      <c r="G809" s="46"/>
    </row>
    <row r="810">
      <c r="E810" s="87"/>
      <c r="F810" s="87"/>
      <c r="G810" s="46"/>
    </row>
    <row r="811">
      <c r="E811" s="87"/>
      <c r="F811" s="87"/>
      <c r="G811" s="46"/>
    </row>
    <row r="812">
      <c r="E812" s="87"/>
      <c r="F812" s="87"/>
      <c r="G812" s="46"/>
    </row>
    <row r="813">
      <c r="E813" s="87"/>
      <c r="F813" s="87"/>
      <c r="G813" s="46"/>
    </row>
    <row r="814">
      <c r="E814" s="87"/>
      <c r="F814" s="87"/>
      <c r="G814" s="46"/>
    </row>
    <row r="815">
      <c r="E815" s="87"/>
      <c r="F815" s="87"/>
      <c r="G815" s="46"/>
    </row>
    <row r="816">
      <c r="E816" s="87"/>
      <c r="F816" s="87"/>
      <c r="G816" s="46"/>
    </row>
    <row r="817">
      <c r="E817" s="87"/>
      <c r="F817" s="87"/>
      <c r="G817" s="46"/>
    </row>
    <row r="818">
      <c r="E818" s="87"/>
      <c r="F818" s="87"/>
      <c r="G818" s="46"/>
    </row>
    <row r="819">
      <c r="E819" s="87"/>
      <c r="F819" s="87"/>
      <c r="G819" s="46"/>
    </row>
    <row r="820">
      <c r="E820" s="87"/>
      <c r="F820" s="87"/>
      <c r="G820" s="46"/>
    </row>
    <row r="821">
      <c r="E821" s="87"/>
      <c r="F821" s="87"/>
      <c r="G821" s="46"/>
    </row>
    <row r="822">
      <c r="E822" s="87"/>
      <c r="F822" s="87"/>
      <c r="G822" s="46"/>
    </row>
    <row r="823">
      <c r="E823" s="87"/>
      <c r="F823" s="87"/>
      <c r="G823" s="46"/>
    </row>
    <row r="824">
      <c r="E824" s="87"/>
      <c r="F824" s="87"/>
      <c r="G824" s="46"/>
    </row>
    <row r="825">
      <c r="E825" s="87"/>
      <c r="F825" s="87"/>
      <c r="G825" s="46"/>
    </row>
    <row r="826">
      <c r="E826" s="87"/>
      <c r="F826" s="87"/>
      <c r="G826" s="46"/>
    </row>
    <row r="827">
      <c r="E827" s="87"/>
      <c r="F827" s="87"/>
      <c r="G827" s="46"/>
    </row>
    <row r="828">
      <c r="E828" s="87"/>
      <c r="F828" s="87"/>
      <c r="G828" s="46"/>
    </row>
    <row r="829">
      <c r="E829" s="87"/>
      <c r="F829" s="87"/>
      <c r="G829" s="46"/>
    </row>
    <row r="830">
      <c r="E830" s="87"/>
      <c r="F830" s="87"/>
      <c r="G830" s="46"/>
    </row>
    <row r="831">
      <c r="E831" s="87"/>
      <c r="F831" s="87"/>
      <c r="G831" s="46"/>
    </row>
    <row r="832">
      <c r="E832" s="87"/>
      <c r="F832" s="87"/>
      <c r="G832" s="46"/>
    </row>
    <row r="833">
      <c r="E833" s="87"/>
      <c r="F833" s="87"/>
      <c r="G833" s="46"/>
    </row>
    <row r="834">
      <c r="E834" s="87"/>
      <c r="F834" s="87"/>
      <c r="G834" s="46"/>
    </row>
    <row r="835">
      <c r="E835" s="87"/>
      <c r="F835" s="87"/>
      <c r="G835" s="46"/>
    </row>
    <row r="836">
      <c r="E836" s="87"/>
      <c r="F836" s="87"/>
      <c r="G836" s="46"/>
    </row>
    <row r="837">
      <c r="E837" s="87"/>
      <c r="F837" s="87"/>
      <c r="G837" s="46"/>
    </row>
    <row r="838">
      <c r="E838" s="87"/>
      <c r="F838" s="87"/>
      <c r="G838" s="46"/>
    </row>
    <row r="839">
      <c r="E839" s="87"/>
      <c r="F839" s="87"/>
      <c r="G839" s="46"/>
    </row>
    <row r="840">
      <c r="E840" s="87"/>
      <c r="F840" s="87"/>
      <c r="G840" s="46"/>
    </row>
    <row r="841">
      <c r="E841" s="87"/>
      <c r="F841" s="87"/>
      <c r="G841" s="46"/>
    </row>
    <row r="842">
      <c r="E842" s="87"/>
      <c r="F842" s="87"/>
      <c r="G842" s="46"/>
    </row>
    <row r="843">
      <c r="E843" s="87"/>
      <c r="F843" s="87"/>
      <c r="G843" s="46"/>
    </row>
    <row r="844">
      <c r="E844" s="87"/>
      <c r="F844" s="87"/>
      <c r="G844" s="46"/>
    </row>
    <row r="845">
      <c r="E845" s="87"/>
      <c r="F845" s="87"/>
      <c r="G845" s="46"/>
    </row>
    <row r="846">
      <c r="E846" s="87"/>
      <c r="F846" s="87"/>
      <c r="G846" s="46"/>
    </row>
    <row r="847">
      <c r="E847" s="87"/>
      <c r="F847" s="87"/>
      <c r="G847" s="46"/>
    </row>
    <row r="848">
      <c r="E848" s="87"/>
      <c r="F848" s="87"/>
      <c r="G848" s="46"/>
    </row>
    <row r="849">
      <c r="E849" s="87"/>
      <c r="F849" s="87"/>
      <c r="G849" s="46"/>
    </row>
    <row r="850">
      <c r="E850" s="87"/>
      <c r="F850" s="87"/>
      <c r="G850" s="46"/>
    </row>
    <row r="851">
      <c r="E851" s="87"/>
      <c r="F851" s="87"/>
      <c r="G851" s="46"/>
    </row>
    <row r="852">
      <c r="E852" s="87"/>
      <c r="F852" s="87"/>
      <c r="G852" s="46"/>
    </row>
    <row r="853">
      <c r="E853" s="87"/>
      <c r="F853" s="87"/>
      <c r="G853" s="46"/>
    </row>
    <row r="854">
      <c r="E854" s="87"/>
      <c r="F854" s="87"/>
      <c r="G854" s="46"/>
    </row>
    <row r="855">
      <c r="E855" s="87"/>
      <c r="F855" s="87"/>
      <c r="G855" s="46"/>
    </row>
    <row r="856">
      <c r="E856" s="87"/>
      <c r="F856" s="87"/>
      <c r="G856" s="46"/>
    </row>
    <row r="857">
      <c r="E857" s="87"/>
      <c r="F857" s="87"/>
      <c r="G857" s="46"/>
    </row>
    <row r="858">
      <c r="E858" s="87"/>
      <c r="F858" s="87"/>
      <c r="G858" s="46"/>
    </row>
    <row r="859">
      <c r="E859" s="87"/>
      <c r="F859" s="87"/>
      <c r="G859" s="46"/>
    </row>
    <row r="860">
      <c r="E860" s="87"/>
      <c r="F860" s="87"/>
      <c r="G860" s="46"/>
    </row>
    <row r="861">
      <c r="E861" s="87"/>
      <c r="F861" s="87"/>
      <c r="G861" s="46"/>
    </row>
    <row r="862">
      <c r="E862" s="87"/>
      <c r="F862" s="87"/>
      <c r="G862" s="46"/>
    </row>
    <row r="863">
      <c r="E863" s="87"/>
      <c r="F863" s="87"/>
      <c r="G863" s="46"/>
    </row>
    <row r="864">
      <c r="E864" s="87"/>
      <c r="F864" s="87"/>
      <c r="G864" s="46"/>
    </row>
    <row r="865">
      <c r="E865" s="87"/>
      <c r="F865" s="87"/>
      <c r="G865" s="46"/>
    </row>
    <row r="866">
      <c r="E866" s="87"/>
      <c r="F866" s="87"/>
      <c r="G866" s="46"/>
    </row>
    <row r="867">
      <c r="E867" s="87"/>
      <c r="F867" s="87"/>
      <c r="G867" s="46"/>
    </row>
    <row r="868">
      <c r="E868" s="87"/>
      <c r="F868" s="87"/>
      <c r="G868" s="46"/>
    </row>
    <row r="869">
      <c r="E869" s="87"/>
      <c r="F869" s="87"/>
      <c r="G869" s="46"/>
    </row>
    <row r="870">
      <c r="E870" s="87"/>
      <c r="F870" s="87"/>
      <c r="G870" s="46"/>
    </row>
    <row r="871">
      <c r="E871" s="87"/>
      <c r="F871" s="87"/>
      <c r="G871" s="46"/>
    </row>
    <row r="872">
      <c r="E872" s="87"/>
      <c r="F872" s="87"/>
      <c r="G872" s="46"/>
    </row>
    <row r="873">
      <c r="E873" s="87"/>
      <c r="F873" s="87"/>
      <c r="G873" s="46"/>
    </row>
    <row r="874">
      <c r="E874" s="87"/>
      <c r="F874" s="87"/>
      <c r="G874" s="46"/>
    </row>
    <row r="875">
      <c r="E875" s="87"/>
      <c r="F875" s="87"/>
      <c r="G875" s="46"/>
    </row>
    <row r="876">
      <c r="E876" s="87"/>
      <c r="F876" s="87"/>
      <c r="G876" s="46"/>
    </row>
    <row r="877">
      <c r="E877" s="87"/>
      <c r="F877" s="87"/>
      <c r="G877" s="46"/>
    </row>
    <row r="878">
      <c r="E878" s="87"/>
      <c r="F878" s="87"/>
      <c r="G878" s="46"/>
    </row>
    <row r="879">
      <c r="E879" s="87"/>
      <c r="F879" s="87"/>
      <c r="G879" s="46"/>
    </row>
    <row r="880">
      <c r="E880" s="87"/>
      <c r="F880" s="87"/>
      <c r="G880" s="46"/>
    </row>
    <row r="881">
      <c r="E881" s="87"/>
      <c r="F881" s="87"/>
      <c r="G881" s="46"/>
    </row>
    <row r="882">
      <c r="E882" s="87"/>
      <c r="F882" s="87"/>
      <c r="G882" s="46"/>
    </row>
    <row r="883">
      <c r="E883" s="87"/>
      <c r="F883" s="87"/>
      <c r="G883" s="46"/>
    </row>
    <row r="884">
      <c r="E884" s="87"/>
      <c r="F884" s="87"/>
      <c r="G884" s="46"/>
    </row>
    <row r="885">
      <c r="E885" s="87"/>
      <c r="F885" s="87"/>
      <c r="G885" s="46"/>
    </row>
    <row r="886">
      <c r="E886" s="87"/>
      <c r="F886" s="87"/>
      <c r="G886" s="46"/>
    </row>
    <row r="887">
      <c r="E887" s="87"/>
      <c r="F887" s="87"/>
      <c r="G887" s="46"/>
    </row>
    <row r="888">
      <c r="E888" s="87"/>
      <c r="F888" s="87"/>
      <c r="G888" s="46"/>
    </row>
    <row r="889">
      <c r="E889" s="87"/>
      <c r="F889" s="87"/>
      <c r="G889" s="46"/>
    </row>
    <row r="890">
      <c r="E890" s="87"/>
      <c r="F890" s="87"/>
      <c r="G890" s="46"/>
    </row>
    <row r="891">
      <c r="E891" s="87"/>
      <c r="F891" s="87"/>
      <c r="G891" s="46"/>
    </row>
    <row r="892">
      <c r="E892" s="87"/>
      <c r="F892" s="87"/>
      <c r="G892" s="46"/>
    </row>
    <row r="893">
      <c r="E893" s="87"/>
      <c r="F893" s="87"/>
      <c r="G893" s="46"/>
    </row>
    <row r="894">
      <c r="E894" s="87"/>
      <c r="F894" s="87"/>
      <c r="G894" s="46"/>
    </row>
    <row r="895">
      <c r="E895" s="87"/>
      <c r="F895" s="87"/>
      <c r="G895" s="46"/>
    </row>
    <row r="896">
      <c r="E896" s="87"/>
      <c r="F896" s="87"/>
      <c r="G896" s="46"/>
    </row>
    <row r="897">
      <c r="E897" s="87"/>
      <c r="F897" s="87"/>
      <c r="G897" s="46"/>
    </row>
    <row r="898">
      <c r="E898" s="87"/>
      <c r="F898" s="87"/>
      <c r="G898" s="46"/>
    </row>
    <row r="899">
      <c r="E899" s="87"/>
      <c r="F899" s="87"/>
      <c r="G899" s="46"/>
    </row>
    <row r="900">
      <c r="E900" s="87"/>
      <c r="F900" s="87"/>
      <c r="G900" s="46"/>
    </row>
    <row r="901">
      <c r="E901" s="87"/>
      <c r="F901" s="87"/>
      <c r="G901" s="46"/>
    </row>
    <row r="902">
      <c r="E902" s="87"/>
      <c r="F902" s="87"/>
      <c r="G902" s="46"/>
    </row>
    <row r="903">
      <c r="E903" s="87"/>
      <c r="F903" s="87"/>
      <c r="G903" s="46"/>
    </row>
    <row r="904">
      <c r="E904" s="87"/>
      <c r="F904" s="87"/>
      <c r="G904" s="46"/>
    </row>
    <row r="905">
      <c r="E905" s="87"/>
      <c r="F905" s="87"/>
      <c r="G905" s="46"/>
    </row>
    <row r="906">
      <c r="E906" s="87"/>
      <c r="F906" s="87"/>
      <c r="G906" s="46"/>
    </row>
    <row r="907">
      <c r="E907" s="87"/>
      <c r="F907" s="87"/>
      <c r="G907" s="46"/>
    </row>
    <row r="908">
      <c r="E908" s="87"/>
      <c r="F908" s="87"/>
      <c r="G908" s="46"/>
    </row>
    <row r="909">
      <c r="E909" s="87"/>
      <c r="F909" s="87"/>
      <c r="G909" s="46"/>
    </row>
    <row r="910">
      <c r="E910" s="87"/>
      <c r="F910" s="87"/>
      <c r="G910" s="46"/>
    </row>
    <row r="911">
      <c r="E911" s="87"/>
      <c r="F911" s="87"/>
      <c r="G911" s="46"/>
    </row>
    <row r="912">
      <c r="E912" s="87"/>
      <c r="F912" s="87"/>
      <c r="G912" s="46"/>
    </row>
    <row r="913">
      <c r="E913" s="87"/>
      <c r="F913" s="87"/>
      <c r="G913" s="46"/>
    </row>
    <row r="914">
      <c r="E914" s="87"/>
      <c r="F914" s="87"/>
      <c r="G914" s="46"/>
    </row>
    <row r="915">
      <c r="E915" s="87"/>
      <c r="F915" s="87"/>
      <c r="G915" s="46"/>
    </row>
    <row r="916">
      <c r="E916" s="87"/>
      <c r="F916" s="87"/>
      <c r="G916" s="46"/>
    </row>
    <row r="917">
      <c r="E917" s="87"/>
      <c r="F917" s="87"/>
      <c r="G917" s="46"/>
    </row>
    <row r="918">
      <c r="E918" s="87"/>
      <c r="F918" s="87"/>
      <c r="G918" s="46"/>
    </row>
    <row r="919">
      <c r="E919" s="87"/>
      <c r="F919" s="87"/>
      <c r="G919" s="46"/>
    </row>
    <row r="920">
      <c r="E920" s="87"/>
      <c r="F920" s="87"/>
      <c r="G920" s="46"/>
    </row>
    <row r="921">
      <c r="E921" s="87"/>
      <c r="F921" s="87"/>
      <c r="G921" s="46"/>
    </row>
    <row r="922">
      <c r="E922" s="87"/>
      <c r="F922" s="87"/>
      <c r="G922" s="46"/>
    </row>
    <row r="923">
      <c r="E923" s="87"/>
      <c r="F923" s="87"/>
      <c r="G923" s="46"/>
    </row>
    <row r="924">
      <c r="E924" s="87"/>
      <c r="F924" s="87"/>
      <c r="G924" s="46"/>
    </row>
    <row r="925">
      <c r="E925" s="87"/>
      <c r="F925" s="87"/>
      <c r="G925" s="46"/>
    </row>
    <row r="926">
      <c r="E926" s="87"/>
      <c r="F926" s="87"/>
      <c r="G926" s="46"/>
    </row>
    <row r="927">
      <c r="E927" s="87"/>
      <c r="F927" s="87"/>
      <c r="G927" s="46"/>
    </row>
    <row r="928">
      <c r="E928" s="87"/>
      <c r="F928" s="87"/>
      <c r="G928" s="46"/>
    </row>
    <row r="929">
      <c r="E929" s="87"/>
      <c r="F929" s="87"/>
      <c r="G929" s="46"/>
    </row>
    <row r="930">
      <c r="E930" s="87"/>
      <c r="F930" s="87"/>
      <c r="G930" s="46"/>
    </row>
    <row r="931">
      <c r="E931" s="87"/>
      <c r="F931" s="87"/>
      <c r="G931" s="46"/>
    </row>
    <row r="932">
      <c r="E932" s="87"/>
      <c r="F932" s="87"/>
      <c r="G932" s="46"/>
    </row>
    <row r="933">
      <c r="E933" s="87"/>
      <c r="F933" s="87"/>
      <c r="G933" s="46"/>
    </row>
    <row r="934">
      <c r="E934" s="87"/>
      <c r="F934" s="87"/>
      <c r="G934" s="46"/>
    </row>
    <row r="935">
      <c r="E935" s="87"/>
      <c r="F935" s="87"/>
      <c r="G935" s="46"/>
    </row>
    <row r="936">
      <c r="E936" s="87"/>
      <c r="F936" s="87"/>
      <c r="G936" s="46"/>
    </row>
    <row r="937">
      <c r="E937" s="87"/>
      <c r="F937" s="87"/>
      <c r="G937" s="46"/>
    </row>
    <row r="938">
      <c r="E938" s="87"/>
      <c r="F938" s="87"/>
      <c r="G938" s="46"/>
    </row>
    <row r="939">
      <c r="E939" s="87"/>
      <c r="F939" s="87"/>
      <c r="G939" s="46"/>
    </row>
    <row r="940">
      <c r="E940" s="87"/>
      <c r="F940" s="87"/>
      <c r="G940" s="46"/>
    </row>
    <row r="941">
      <c r="E941" s="87"/>
      <c r="F941" s="87"/>
      <c r="G941" s="46"/>
    </row>
    <row r="942">
      <c r="E942" s="87"/>
      <c r="F942" s="87"/>
      <c r="G942" s="46"/>
    </row>
    <row r="943">
      <c r="E943" s="87"/>
      <c r="F943" s="87"/>
      <c r="G943" s="46"/>
    </row>
    <row r="944">
      <c r="E944" s="87"/>
      <c r="F944" s="87"/>
      <c r="G944" s="46"/>
    </row>
    <row r="945">
      <c r="E945" s="87"/>
      <c r="F945" s="87"/>
      <c r="G945" s="46"/>
    </row>
    <row r="946">
      <c r="E946" s="87"/>
      <c r="F946" s="87"/>
      <c r="G946" s="46"/>
    </row>
    <row r="947">
      <c r="E947" s="87"/>
      <c r="F947" s="87"/>
      <c r="G947" s="46"/>
    </row>
    <row r="948">
      <c r="E948" s="87"/>
      <c r="F948" s="87"/>
      <c r="G948" s="46"/>
    </row>
    <row r="949">
      <c r="E949" s="87"/>
      <c r="F949" s="87"/>
      <c r="G949" s="46"/>
    </row>
    <row r="950">
      <c r="E950" s="87"/>
      <c r="F950" s="87"/>
      <c r="G950" s="46"/>
    </row>
    <row r="951">
      <c r="E951" s="87"/>
      <c r="F951" s="87"/>
      <c r="G951" s="46"/>
    </row>
    <row r="952">
      <c r="E952" s="87"/>
      <c r="F952" s="87"/>
      <c r="G952" s="46"/>
    </row>
    <row r="953">
      <c r="E953" s="87"/>
      <c r="F953" s="87"/>
      <c r="G953" s="46"/>
    </row>
    <row r="954">
      <c r="E954" s="87"/>
      <c r="F954" s="87"/>
      <c r="G954" s="46"/>
    </row>
    <row r="955">
      <c r="E955" s="87"/>
      <c r="F955" s="87"/>
      <c r="G955" s="46"/>
    </row>
    <row r="956">
      <c r="E956" s="87"/>
      <c r="F956" s="87"/>
      <c r="G956" s="46"/>
    </row>
    <row r="957">
      <c r="E957" s="87"/>
      <c r="F957" s="87"/>
      <c r="G957" s="46"/>
    </row>
    <row r="958">
      <c r="E958" s="87"/>
      <c r="F958" s="87"/>
      <c r="G958" s="46"/>
    </row>
    <row r="959">
      <c r="E959" s="87"/>
      <c r="F959" s="87"/>
      <c r="G959" s="46"/>
    </row>
    <row r="960">
      <c r="E960" s="87"/>
      <c r="F960" s="87"/>
      <c r="G960" s="46"/>
    </row>
    <row r="961">
      <c r="E961" s="87"/>
      <c r="F961" s="87"/>
      <c r="G961" s="46"/>
    </row>
    <row r="962">
      <c r="E962" s="87"/>
      <c r="F962" s="87"/>
      <c r="G962" s="46"/>
    </row>
    <row r="963">
      <c r="E963" s="87"/>
      <c r="F963" s="87"/>
      <c r="G963" s="46"/>
    </row>
    <row r="964">
      <c r="E964" s="87"/>
      <c r="F964" s="87"/>
      <c r="G964" s="46"/>
    </row>
    <row r="965">
      <c r="E965" s="87"/>
      <c r="F965" s="87"/>
      <c r="G965" s="46"/>
    </row>
    <row r="966">
      <c r="E966" s="87"/>
      <c r="F966" s="87"/>
      <c r="G966" s="46"/>
    </row>
    <row r="967">
      <c r="E967" s="87"/>
      <c r="F967" s="87"/>
      <c r="G967" s="46"/>
    </row>
    <row r="968">
      <c r="E968" s="87"/>
      <c r="F968" s="87"/>
      <c r="G968" s="46"/>
    </row>
    <row r="969">
      <c r="E969" s="87"/>
      <c r="F969" s="87"/>
      <c r="G969" s="46"/>
    </row>
    <row r="970">
      <c r="E970" s="87"/>
      <c r="F970" s="87"/>
      <c r="G970" s="46"/>
    </row>
    <row r="971">
      <c r="E971" s="87"/>
      <c r="F971" s="87"/>
      <c r="G971" s="46"/>
    </row>
    <row r="972">
      <c r="E972" s="87"/>
      <c r="F972" s="87"/>
      <c r="G972" s="46"/>
    </row>
    <row r="973">
      <c r="E973" s="87"/>
      <c r="F973" s="87"/>
      <c r="G973" s="46"/>
    </row>
    <row r="974">
      <c r="E974" s="87"/>
      <c r="F974" s="87"/>
      <c r="G974" s="46"/>
    </row>
    <row r="975">
      <c r="E975" s="87"/>
      <c r="F975" s="87"/>
      <c r="G975" s="46"/>
    </row>
    <row r="976">
      <c r="E976" s="87"/>
      <c r="F976" s="87"/>
      <c r="G976" s="46"/>
    </row>
    <row r="977">
      <c r="E977" s="87"/>
      <c r="F977" s="87"/>
      <c r="G977" s="46"/>
    </row>
    <row r="978">
      <c r="E978" s="87"/>
      <c r="F978" s="87"/>
      <c r="G978" s="46"/>
    </row>
    <row r="979">
      <c r="E979" s="87"/>
      <c r="F979" s="87"/>
      <c r="G979" s="46"/>
    </row>
    <row r="980">
      <c r="E980" s="87"/>
      <c r="F980" s="87"/>
      <c r="G980" s="46"/>
    </row>
    <row r="981">
      <c r="E981" s="87"/>
      <c r="F981" s="87"/>
      <c r="G981" s="46"/>
    </row>
    <row r="982">
      <c r="E982" s="87"/>
      <c r="F982" s="87"/>
      <c r="G982" s="46"/>
    </row>
    <row r="983">
      <c r="E983" s="87"/>
      <c r="F983" s="87"/>
      <c r="G983" s="46"/>
    </row>
    <row r="984">
      <c r="E984" s="87"/>
      <c r="F984" s="87"/>
      <c r="G984" s="46"/>
    </row>
    <row r="985">
      <c r="E985" s="87"/>
      <c r="F985" s="87"/>
      <c r="G985" s="46"/>
    </row>
    <row r="986">
      <c r="E986" s="87"/>
      <c r="F986" s="87"/>
      <c r="G986" s="46"/>
    </row>
    <row r="987">
      <c r="E987" s="87"/>
      <c r="F987" s="87"/>
      <c r="G987" s="46"/>
    </row>
    <row r="988">
      <c r="E988" s="87"/>
      <c r="F988" s="87"/>
      <c r="G988" s="46"/>
    </row>
    <row r="989">
      <c r="E989" s="87"/>
      <c r="F989" s="87"/>
      <c r="G989" s="46"/>
    </row>
    <row r="990">
      <c r="E990" s="87"/>
      <c r="F990" s="87"/>
      <c r="G990" s="46"/>
    </row>
    <row r="991">
      <c r="E991" s="87"/>
      <c r="F991" s="87"/>
      <c r="G991" s="46"/>
    </row>
    <row r="992">
      <c r="E992" s="87"/>
      <c r="F992" s="87"/>
      <c r="G992" s="46"/>
    </row>
    <row r="993">
      <c r="E993" s="87"/>
      <c r="F993" s="87"/>
      <c r="G993" s="46"/>
    </row>
    <row r="994">
      <c r="E994" s="87"/>
      <c r="F994" s="87"/>
      <c r="G994" s="46"/>
    </row>
    <row r="995">
      <c r="E995" s="87"/>
      <c r="F995" s="87"/>
      <c r="G995" s="46"/>
    </row>
    <row r="996">
      <c r="E996" s="87"/>
      <c r="F996" s="87"/>
      <c r="G996" s="46"/>
    </row>
    <row r="997">
      <c r="E997" s="87"/>
      <c r="F997" s="87"/>
      <c r="G997" s="46"/>
    </row>
    <row r="998">
      <c r="E998" s="87"/>
      <c r="F998" s="87"/>
      <c r="G998" s="46"/>
    </row>
    <row r="999">
      <c r="E999" s="87"/>
      <c r="F999" s="87"/>
      <c r="G999" s="46"/>
    </row>
    <row r="1000">
      <c r="E1000" s="87"/>
      <c r="F1000" s="87"/>
      <c r="G1000" s="46"/>
    </row>
    <row r="1001">
      <c r="E1001" s="87"/>
      <c r="F1001" s="87"/>
      <c r="G1001" s="46"/>
    </row>
    <row r="1002">
      <c r="E1002" s="87"/>
      <c r="F1002" s="87"/>
      <c r="G1002" s="46"/>
    </row>
    <row r="1003">
      <c r="E1003" s="87"/>
      <c r="F1003" s="87"/>
      <c r="G1003" s="46"/>
    </row>
    <row r="1004">
      <c r="E1004" s="87"/>
      <c r="F1004" s="87"/>
      <c r="G1004" s="46"/>
    </row>
    <row r="1005">
      <c r="E1005" s="87"/>
      <c r="F1005" s="87"/>
      <c r="G1005" s="46"/>
    </row>
    <row r="1006">
      <c r="E1006" s="87"/>
      <c r="F1006" s="87"/>
      <c r="G1006" s="46"/>
    </row>
    <row r="1007">
      <c r="E1007" s="87"/>
      <c r="F1007" s="87"/>
      <c r="G1007" s="46"/>
    </row>
    <row r="1008">
      <c r="E1008" s="87"/>
      <c r="F1008" s="87"/>
      <c r="G1008" s="46"/>
    </row>
    <row r="1009">
      <c r="E1009" s="87"/>
      <c r="F1009" s="87"/>
      <c r="G1009" s="46"/>
    </row>
    <row r="1010">
      <c r="E1010" s="87"/>
      <c r="F1010" s="87"/>
      <c r="G1010" s="46"/>
    </row>
    <row r="1011">
      <c r="E1011" s="87"/>
      <c r="F1011" s="87"/>
      <c r="G1011" s="46"/>
    </row>
    <row r="1012">
      <c r="E1012" s="87"/>
      <c r="F1012" s="87"/>
      <c r="G1012" s="46"/>
    </row>
    <row r="1013">
      <c r="E1013" s="87"/>
      <c r="F1013" s="87"/>
      <c r="G1013" s="46"/>
    </row>
    <row r="1014">
      <c r="E1014" s="87"/>
      <c r="F1014" s="87"/>
      <c r="G1014" s="46"/>
    </row>
    <row r="1015">
      <c r="E1015" s="87"/>
      <c r="F1015" s="87"/>
      <c r="G1015" s="46"/>
    </row>
    <row r="1016">
      <c r="E1016" s="87"/>
      <c r="F1016" s="87"/>
      <c r="G1016" s="46"/>
    </row>
    <row r="1017">
      <c r="E1017" s="87"/>
      <c r="F1017" s="87"/>
      <c r="G1017" s="46"/>
    </row>
    <row r="1018">
      <c r="E1018" s="87"/>
      <c r="F1018" s="87"/>
      <c r="G1018" s="46"/>
    </row>
    <row r="1019">
      <c r="E1019" s="87"/>
      <c r="F1019" s="87"/>
      <c r="G1019" s="46"/>
    </row>
    <row r="1020">
      <c r="E1020" s="87"/>
      <c r="F1020" s="87"/>
      <c r="G1020" s="46"/>
    </row>
    <row r="1021">
      <c r="E1021" s="87"/>
      <c r="F1021" s="87"/>
      <c r="G1021" s="46"/>
    </row>
    <row r="1022">
      <c r="E1022" s="87"/>
      <c r="F1022" s="87"/>
      <c r="G1022" s="46"/>
    </row>
    <row r="1023">
      <c r="E1023" s="87"/>
      <c r="F1023" s="87"/>
      <c r="G1023" s="46"/>
    </row>
    <row r="1024">
      <c r="E1024" s="87"/>
      <c r="F1024" s="87"/>
      <c r="G1024" s="46"/>
    </row>
    <row r="1025">
      <c r="E1025" s="87"/>
      <c r="F1025" s="87"/>
      <c r="G1025" s="46"/>
    </row>
    <row r="1026">
      <c r="E1026" s="87"/>
      <c r="F1026" s="87"/>
      <c r="G1026" s="46"/>
    </row>
    <row r="1027">
      <c r="E1027" s="87"/>
      <c r="F1027" s="87"/>
      <c r="G1027" s="46"/>
    </row>
    <row r="1028">
      <c r="E1028" s="87"/>
      <c r="F1028" s="87"/>
      <c r="G1028" s="46"/>
    </row>
    <row r="1029">
      <c r="E1029" s="87"/>
      <c r="F1029" s="87"/>
      <c r="G1029" s="46"/>
    </row>
    <row r="1030">
      <c r="E1030" s="87"/>
      <c r="F1030" s="87"/>
      <c r="G1030" s="46"/>
    </row>
    <row r="1031">
      <c r="E1031" s="87"/>
      <c r="F1031" s="87"/>
      <c r="G1031" s="46"/>
    </row>
    <row r="1032">
      <c r="E1032" s="87"/>
      <c r="F1032" s="87"/>
      <c r="G1032" s="46"/>
    </row>
    <row r="1033">
      <c r="E1033" s="87"/>
      <c r="F1033" s="87"/>
      <c r="G1033" s="46"/>
    </row>
    <row r="1034">
      <c r="E1034" s="87"/>
      <c r="F1034" s="87"/>
      <c r="G1034" s="46"/>
    </row>
    <row r="1035">
      <c r="E1035" s="87"/>
      <c r="F1035" s="87"/>
      <c r="G1035" s="46"/>
    </row>
    <row r="1036">
      <c r="E1036" s="87"/>
      <c r="F1036" s="87"/>
      <c r="G1036" s="46"/>
    </row>
    <row r="1037">
      <c r="E1037" s="87"/>
      <c r="F1037" s="87"/>
      <c r="G1037" s="46"/>
    </row>
    <row r="1038">
      <c r="E1038" s="87"/>
      <c r="F1038" s="87"/>
      <c r="G1038" s="46"/>
    </row>
    <row r="1039">
      <c r="E1039" s="87"/>
      <c r="F1039" s="87"/>
      <c r="G1039" s="46"/>
    </row>
    <row r="1040">
      <c r="E1040" s="87"/>
      <c r="F1040" s="87"/>
      <c r="G1040" s="46"/>
    </row>
    <row r="1041">
      <c r="E1041" s="87"/>
      <c r="F1041" s="87"/>
      <c r="G1041" s="46"/>
    </row>
    <row r="1042">
      <c r="E1042" s="87"/>
      <c r="F1042" s="87"/>
      <c r="G1042" s="46"/>
    </row>
    <row r="1043">
      <c r="E1043" s="87"/>
      <c r="F1043" s="87"/>
      <c r="G1043" s="46"/>
    </row>
    <row r="1044">
      <c r="E1044" s="87"/>
      <c r="F1044" s="87"/>
      <c r="G1044" s="46"/>
    </row>
    <row r="1045">
      <c r="E1045" s="87"/>
      <c r="F1045" s="87"/>
      <c r="G1045" s="46"/>
    </row>
    <row r="1046">
      <c r="E1046" s="87"/>
      <c r="F1046" s="87"/>
      <c r="G1046" s="46"/>
    </row>
    <row r="1047">
      <c r="E1047" s="87"/>
      <c r="F1047" s="87"/>
      <c r="G1047" s="46"/>
    </row>
    <row r="1048">
      <c r="E1048" s="87"/>
      <c r="F1048" s="87"/>
      <c r="G1048" s="46"/>
    </row>
    <row r="1049">
      <c r="E1049" s="87"/>
      <c r="F1049" s="87"/>
      <c r="G1049" s="46"/>
    </row>
    <row r="1050">
      <c r="E1050" s="87"/>
      <c r="F1050" s="87"/>
      <c r="G1050" s="46"/>
    </row>
    <row r="1051">
      <c r="E1051" s="87"/>
      <c r="F1051" s="87"/>
      <c r="G1051" s="46"/>
    </row>
    <row r="1052">
      <c r="E1052" s="87"/>
      <c r="F1052" s="87"/>
      <c r="G1052" s="46"/>
    </row>
    <row r="1053">
      <c r="E1053" s="87"/>
      <c r="F1053" s="87"/>
      <c r="G1053" s="46"/>
    </row>
    <row r="1054">
      <c r="E1054" s="87"/>
      <c r="F1054" s="87"/>
      <c r="G1054" s="46"/>
    </row>
    <row r="1055">
      <c r="E1055" s="87"/>
      <c r="F1055" s="87"/>
      <c r="G1055" s="46"/>
    </row>
    <row r="1056">
      <c r="E1056" s="87"/>
      <c r="F1056" s="87"/>
      <c r="G1056" s="46"/>
    </row>
    <row r="1057">
      <c r="E1057" s="87"/>
      <c r="F1057" s="87"/>
      <c r="G1057" s="46"/>
    </row>
    <row r="1058">
      <c r="E1058" s="87"/>
      <c r="F1058" s="87"/>
      <c r="G1058" s="46"/>
    </row>
    <row r="1059">
      <c r="E1059" s="87"/>
      <c r="F1059" s="87"/>
      <c r="G1059" s="46"/>
    </row>
    <row r="1060">
      <c r="E1060" s="87"/>
      <c r="F1060" s="87"/>
      <c r="G1060" s="46"/>
    </row>
    <row r="1061">
      <c r="E1061" s="87"/>
      <c r="F1061" s="87"/>
      <c r="G1061" s="46"/>
    </row>
    <row r="1062">
      <c r="E1062" s="87"/>
      <c r="F1062" s="87"/>
      <c r="G1062" s="46"/>
    </row>
    <row r="1063">
      <c r="E1063" s="87"/>
      <c r="F1063" s="87"/>
      <c r="G1063" s="46"/>
    </row>
    <row r="1064">
      <c r="E1064" s="87"/>
      <c r="F1064" s="87"/>
      <c r="G1064" s="46"/>
    </row>
    <row r="1065">
      <c r="E1065" s="87"/>
      <c r="F1065" s="87"/>
      <c r="G1065" s="46"/>
    </row>
    <row r="1066">
      <c r="E1066" s="87"/>
      <c r="F1066" s="87"/>
      <c r="G1066" s="46"/>
    </row>
    <row r="1067">
      <c r="E1067" s="87"/>
      <c r="F1067" s="87"/>
      <c r="G1067" s="46"/>
    </row>
    <row r="1068">
      <c r="E1068" s="87"/>
      <c r="F1068" s="87"/>
      <c r="G1068" s="46"/>
    </row>
    <row r="1069">
      <c r="E1069" s="87"/>
      <c r="F1069" s="87"/>
      <c r="G1069" s="46"/>
    </row>
    <row r="1070">
      <c r="E1070" s="87"/>
      <c r="F1070" s="87"/>
      <c r="G1070" s="46"/>
    </row>
    <row r="1071">
      <c r="E1071" s="87"/>
      <c r="F1071" s="87"/>
      <c r="G1071" s="46"/>
    </row>
    <row r="1072">
      <c r="E1072" s="87"/>
      <c r="F1072" s="87"/>
      <c r="G1072" s="46"/>
    </row>
    <row r="1073">
      <c r="E1073" s="87"/>
      <c r="F1073" s="87"/>
      <c r="G1073" s="46"/>
    </row>
    <row r="1074">
      <c r="E1074" s="87"/>
      <c r="F1074" s="87"/>
      <c r="G1074" s="46"/>
    </row>
    <row r="1075">
      <c r="E1075" s="87"/>
      <c r="F1075" s="87"/>
      <c r="G1075" s="46"/>
    </row>
    <row r="1076">
      <c r="E1076" s="87"/>
      <c r="F1076" s="87"/>
      <c r="G1076" s="46"/>
    </row>
    <row r="1077">
      <c r="E1077" s="87"/>
      <c r="F1077" s="87"/>
      <c r="G1077" s="46"/>
    </row>
    <row r="1078">
      <c r="E1078" s="87"/>
      <c r="F1078" s="87"/>
      <c r="G1078" s="46"/>
    </row>
    <row r="1079">
      <c r="E1079" s="87"/>
      <c r="F1079" s="87"/>
      <c r="G1079" s="46"/>
    </row>
    <row r="1080">
      <c r="E1080" s="87"/>
      <c r="F1080" s="87"/>
      <c r="G1080" s="46"/>
    </row>
    <row r="1081">
      <c r="E1081" s="87"/>
      <c r="F1081" s="87"/>
      <c r="G1081" s="46"/>
    </row>
    <row r="1082">
      <c r="E1082" s="87"/>
      <c r="F1082" s="87"/>
      <c r="G1082" s="46"/>
    </row>
    <row r="1083">
      <c r="E1083" s="87"/>
      <c r="F1083" s="87"/>
      <c r="G1083" s="46"/>
    </row>
    <row r="1084">
      <c r="E1084" s="87"/>
      <c r="F1084" s="87"/>
      <c r="G1084" s="46"/>
    </row>
    <row r="1085">
      <c r="E1085" s="87"/>
      <c r="F1085" s="87"/>
      <c r="G1085" s="46"/>
    </row>
    <row r="1086">
      <c r="E1086" s="87"/>
      <c r="F1086" s="87"/>
      <c r="G1086" s="46"/>
    </row>
    <row r="1087">
      <c r="E1087" s="87"/>
      <c r="F1087" s="87"/>
      <c r="G1087" s="46"/>
    </row>
    <row r="1088">
      <c r="E1088" s="87"/>
      <c r="F1088" s="87"/>
      <c r="G1088" s="46"/>
    </row>
    <row r="1089">
      <c r="E1089" s="87"/>
      <c r="F1089" s="87"/>
      <c r="G1089" s="46"/>
    </row>
    <row r="1090">
      <c r="E1090" s="87"/>
      <c r="F1090" s="87"/>
      <c r="G1090" s="46"/>
    </row>
    <row r="1091">
      <c r="E1091" s="87"/>
      <c r="F1091" s="87"/>
      <c r="G1091" s="46"/>
    </row>
    <row r="1092">
      <c r="E1092" s="87"/>
      <c r="F1092" s="87"/>
      <c r="G1092" s="46"/>
    </row>
    <row r="1093">
      <c r="E1093" s="87"/>
      <c r="F1093" s="87"/>
      <c r="G1093" s="46"/>
    </row>
    <row r="1094">
      <c r="E1094" s="87"/>
      <c r="F1094" s="87"/>
      <c r="G1094" s="46"/>
    </row>
    <row r="1095">
      <c r="E1095" s="87"/>
      <c r="F1095" s="87"/>
      <c r="G1095" s="46"/>
    </row>
    <row r="1096">
      <c r="E1096" s="87"/>
      <c r="F1096" s="87"/>
      <c r="G1096" s="46"/>
    </row>
    <row r="1097">
      <c r="E1097" s="87"/>
      <c r="F1097" s="87"/>
      <c r="G1097" s="46"/>
    </row>
    <row r="1098">
      <c r="E1098" s="87"/>
      <c r="F1098" s="87"/>
      <c r="G1098" s="46"/>
    </row>
    <row r="1099">
      <c r="E1099" s="87"/>
      <c r="F1099" s="87"/>
      <c r="G1099" s="46"/>
    </row>
    <row r="1100">
      <c r="E1100" s="87"/>
      <c r="F1100" s="87"/>
      <c r="G1100" s="46"/>
    </row>
    <row r="1101">
      <c r="E1101" s="87"/>
      <c r="F1101" s="87"/>
      <c r="G1101" s="46"/>
    </row>
    <row r="1102">
      <c r="E1102" s="87"/>
      <c r="F1102" s="87"/>
      <c r="G1102" s="46"/>
    </row>
    <row r="1103">
      <c r="E1103" s="87"/>
      <c r="F1103" s="87"/>
      <c r="G1103" s="46"/>
    </row>
    <row r="1104">
      <c r="E1104" s="87"/>
      <c r="F1104" s="87"/>
      <c r="G1104" s="46"/>
    </row>
    <row r="1105">
      <c r="E1105" s="87"/>
      <c r="F1105" s="87"/>
      <c r="G1105" s="46"/>
    </row>
    <row r="1106">
      <c r="E1106" s="87"/>
      <c r="F1106" s="87"/>
      <c r="G1106" s="46"/>
    </row>
    <row r="1107">
      <c r="E1107" s="87"/>
      <c r="F1107" s="87"/>
      <c r="G1107" s="46"/>
    </row>
    <row r="1108">
      <c r="E1108" s="87"/>
      <c r="F1108" s="87"/>
      <c r="G1108" s="46"/>
    </row>
    <row r="1109">
      <c r="E1109" s="87"/>
      <c r="F1109" s="87"/>
      <c r="G1109" s="46"/>
    </row>
    <row r="1110">
      <c r="E1110" s="87"/>
      <c r="F1110" s="87"/>
      <c r="G1110" s="46"/>
    </row>
    <row r="1111">
      <c r="E1111" s="87"/>
      <c r="F1111" s="87"/>
      <c r="G1111" s="46"/>
    </row>
    <row r="1112">
      <c r="E1112" s="87"/>
      <c r="F1112" s="87"/>
      <c r="G1112" s="46"/>
    </row>
    <row r="1113">
      <c r="E1113" s="87"/>
      <c r="F1113" s="87"/>
      <c r="G1113" s="46"/>
    </row>
    <row r="1114">
      <c r="E1114" s="87"/>
      <c r="F1114" s="87"/>
      <c r="G1114" s="46"/>
    </row>
    <row r="1115">
      <c r="E1115" s="87"/>
      <c r="F1115" s="87"/>
      <c r="G1115" s="46"/>
    </row>
    <row r="1116">
      <c r="E1116" s="87"/>
      <c r="F1116" s="87"/>
      <c r="G1116" s="46"/>
    </row>
    <row r="1117">
      <c r="E1117" s="87"/>
      <c r="F1117" s="87"/>
      <c r="G1117" s="46"/>
    </row>
    <row r="1118">
      <c r="E1118" s="87"/>
      <c r="F1118" s="87"/>
      <c r="G1118" s="46"/>
    </row>
    <row r="1119">
      <c r="E1119" s="87"/>
      <c r="F1119" s="87"/>
      <c r="G1119" s="46"/>
    </row>
    <row r="1120">
      <c r="E1120" s="87"/>
      <c r="F1120" s="87"/>
      <c r="G1120" s="46"/>
    </row>
    <row r="1121">
      <c r="E1121" s="87"/>
      <c r="F1121" s="87"/>
      <c r="G1121" s="46"/>
    </row>
    <row r="1122">
      <c r="E1122" s="87"/>
      <c r="F1122" s="87"/>
      <c r="G1122" s="46"/>
    </row>
    <row r="1123">
      <c r="E1123" s="87"/>
      <c r="F1123" s="87"/>
      <c r="G1123" s="46"/>
    </row>
    <row r="1124">
      <c r="E1124" s="87"/>
      <c r="F1124" s="87"/>
      <c r="G1124" s="46"/>
    </row>
    <row r="1125">
      <c r="E1125" s="87"/>
      <c r="F1125" s="87"/>
      <c r="G1125" s="46"/>
    </row>
    <row r="1126">
      <c r="E1126" s="87"/>
      <c r="F1126" s="87"/>
      <c r="G1126" s="46"/>
    </row>
    <row r="1127">
      <c r="E1127" s="87"/>
      <c r="F1127" s="87"/>
      <c r="G1127" s="46"/>
    </row>
    <row r="1128">
      <c r="E1128" s="87"/>
      <c r="F1128" s="87"/>
      <c r="G1128" s="46"/>
    </row>
    <row r="1129">
      <c r="E1129" s="87"/>
      <c r="F1129" s="87"/>
      <c r="G1129" s="46"/>
    </row>
    <row r="1130">
      <c r="E1130" s="87"/>
      <c r="F1130" s="87"/>
      <c r="G1130" s="46"/>
    </row>
    <row r="1131">
      <c r="E1131" s="87"/>
      <c r="F1131" s="87"/>
      <c r="G1131" s="46"/>
    </row>
    <row r="1132">
      <c r="E1132" s="87"/>
      <c r="F1132" s="87"/>
      <c r="G1132" s="46"/>
    </row>
    <row r="1133">
      <c r="E1133" s="87"/>
      <c r="F1133" s="87"/>
      <c r="G1133" s="46"/>
    </row>
    <row r="1134">
      <c r="E1134" s="87"/>
      <c r="F1134" s="87"/>
      <c r="G1134" s="46"/>
    </row>
    <row r="1135">
      <c r="E1135" s="87"/>
      <c r="F1135" s="87"/>
      <c r="G1135" s="46"/>
    </row>
    <row r="1136">
      <c r="E1136" s="87"/>
      <c r="F1136" s="87"/>
      <c r="G1136" s="46"/>
    </row>
    <row r="1137">
      <c r="E1137" s="87"/>
      <c r="F1137" s="87"/>
      <c r="G1137" s="46"/>
    </row>
    <row r="1138">
      <c r="E1138" s="87"/>
      <c r="F1138" s="87"/>
      <c r="G1138" s="46"/>
    </row>
    <row r="1139">
      <c r="E1139" s="87"/>
      <c r="F1139" s="87"/>
      <c r="G1139" s="46"/>
    </row>
    <row r="1140">
      <c r="E1140" s="87"/>
      <c r="F1140" s="87"/>
      <c r="G1140" s="46"/>
    </row>
    <row r="1141">
      <c r="E1141" s="87"/>
      <c r="F1141" s="87"/>
      <c r="G1141" s="46"/>
    </row>
    <row r="1142">
      <c r="E1142" s="87"/>
      <c r="F1142" s="87"/>
      <c r="G1142" s="46"/>
    </row>
    <row r="1143">
      <c r="E1143" s="87"/>
      <c r="F1143" s="87"/>
      <c r="G1143" s="46"/>
    </row>
    <row r="1144">
      <c r="E1144" s="87"/>
      <c r="F1144" s="87"/>
      <c r="G1144" s="46"/>
    </row>
    <row r="1145">
      <c r="E1145" s="87"/>
      <c r="F1145" s="87"/>
      <c r="G1145" s="46"/>
    </row>
    <row r="1146">
      <c r="E1146" s="87"/>
      <c r="F1146" s="87"/>
      <c r="G1146" s="46"/>
    </row>
    <row r="1147">
      <c r="E1147" s="87"/>
      <c r="F1147" s="87"/>
      <c r="G1147" s="46"/>
    </row>
    <row r="1148">
      <c r="E1148" s="87"/>
      <c r="F1148" s="87"/>
      <c r="G1148" s="46"/>
    </row>
    <row r="1149">
      <c r="E1149" s="87"/>
      <c r="F1149" s="87"/>
      <c r="G1149" s="46"/>
    </row>
    <row r="1150">
      <c r="E1150" s="87"/>
      <c r="F1150" s="87"/>
      <c r="G1150" s="46"/>
    </row>
    <row r="1151">
      <c r="E1151" s="87"/>
      <c r="F1151" s="87"/>
      <c r="G1151" s="46"/>
    </row>
    <row r="1152">
      <c r="E1152" s="87"/>
      <c r="F1152" s="87"/>
      <c r="G1152" s="46"/>
    </row>
    <row r="1153">
      <c r="E1153" s="87"/>
      <c r="F1153" s="87"/>
      <c r="G1153" s="46"/>
    </row>
    <row r="1154">
      <c r="E1154" s="87"/>
      <c r="F1154" s="87"/>
      <c r="G1154" s="46"/>
    </row>
    <row r="1155">
      <c r="E1155" s="87"/>
      <c r="F1155" s="87"/>
      <c r="G1155" s="46"/>
    </row>
    <row r="1156">
      <c r="E1156" s="87"/>
      <c r="F1156" s="87"/>
      <c r="G1156" s="46"/>
    </row>
    <row r="1157">
      <c r="E1157" s="87"/>
      <c r="F1157" s="87"/>
      <c r="G1157" s="46"/>
    </row>
    <row r="1158">
      <c r="E1158" s="87"/>
      <c r="F1158" s="87"/>
      <c r="G1158" s="46"/>
    </row>
    <row r="1159">
      <c r="E1159" s="87"/>
      <c r="F1159" s="87"/>
      <c r="G1159" s="46"/>
    </row>
    <row r="1160">
      <c r="E1160" s="87"/>
      <c r="F1160" s="87"/>
      <c r="G1160" s="46"/>
    </row>
    <row r="1161">
      <c r="E1161" s="87"/>
      <c r="F1161" s="87"/>
      <c r="G1161" s="46"/>
    </row>
    <row r="1162">
      <c r="E1162" s="87"/>
      <c r="F1162" s="87"/>
      <c r="G1162" s="46"/>
    </row>
    <row r="1163">
      <c r="E1163" s="87"/>
      <c r="F1163" s="87"/>
      <c r="G1163" s="46"/>
    </row>
    <row r="1164">
      <c r="E1164" s="87"/>
      <c r="F1164" s="87"/>
      <c r="G1164" s="46"/>
    </row>
    <row r="1165">
      <c r="E1165" s="87"/>
      <c r="F1165" s="87"/>
      <c r="G1165" s="46"/>
    </row>
    <row r="1166">
      <c r="E1166" s="87"/>
      <c r="F1166" s="87"/>
      <c r="G1166" s="46"/>
    </row>
    <row r="1167">
      <c r="E1167" s="87"/>
      <c r="F1167" s="87"/>
      <c r="G1167" s="46"/>
    </row>
    <row r="1168">
      <c r="E1168" s="87"/>
      <c r="F1168" s="87"/>
      <c r="G1168" s="46"/>
    </row>
    <row r="1169">
      <c r="E1169" s="87"/>
      <c r="F1169" s="87"/>
      <c r="G1169" s="46"/>
    </row>
    <row r="1170">
      <c r="E1170" s="87"/>
      <c r="F1170" s="87"/>
      <c r="G1170" s="46"/>
    </row>
    <row r="1171">
      <c r="E1171" s="87"/>
      <c r="F1171" s="87"/>
      <c r="G1171" s="46"/>
    </row>
    <row r="1172">
      <c r="E1172" s="87"/>
      <c r="F1172" s="87"/>
      <c r="G1172" s="46"/>
    </row>
    <row r="1173">
      <c r="E1173" s="87"/>
      <c r="F1173" s="87"/>
      <c r="G1173" s="46"/>
    </row>
    <row r="1174">
      <c r="E1174" s="87"/>
      <c r="F1174" s="87"/>
      <c r="G1174" s="46"/>
    </row>
    <row r="1175">
      <c r="E1175" s="87"/>
      <c r="F1175" s="87"/>
      <c r="G1175" s="46"/>
    </row>
    <row r="1176">
      <c r="E1176" s="87"/>
      <c r="F1176" s="87"/>
      <c r="G1176" s="46"/>
    </row>
    <row r="1177">
      <c r="E1177" s="87"/>
      <c r="F1177" s="87"/>
      <c r="G1177" s="46"/>
    </row>
    <row r="1178">
      <c r="E1178" s="87"/>
      <c r="F1178" s="87"/>
      <c r="G1178" s="46"/>
    </row>
    <row r="1179">
      <c r="E1179" s="87"/>
      <c r="F1179" s="87"/>
      <c r="G1179" s="46"/>
    </row>
    <row r="1180">
      <c r="E1180" s="87"/>
      <c r="F1180" s="87"/>
      <c r="G1180" s="46"/>
    </row>
    <row r="1181">
      <c r="E1181" s="87"/>
      <c r="F1181" s="87"/>
      <c r="G1181" s="46"/>
    </row>
    <row r="1182">
      <c r="E1182" s="87"/>
      <c r="F1182" s="87"/>
      <c r="G1182" s="46"/>
    </row>
    <row r="1183">
      <c r="E1183" s="87"/>
      <c r="F1183" s="87"/>
      <c r="G1183" s="46"/>
    </row>
    <row r="1184">
      <c r="E1184" s="87"/>
      <c r="F1184" s="87"/>
      <c r="G1184" s="46"/>
    </row>
    <row r="1185">
      <c r="E1185" s="87"/>
      <c r="F1185" s="87"/>
      <c r="G1185" s="46"/>
    </row>
    <row r="1186">
      <c r="E1186" s="87"/>
      <c r="F1186" s="87"/>
      <c r="G1186" s="46"/>
    </row>
    <row r="1187">
      <c r="E1187" s="87"/>
      <c r="F1187" s="87"/>
      <c r="G1187" s="46"/>
    </row>
    <row r="1188">
      <c r="E1188" s="87"/>
      <c r="F1188" s="87"/>
      <c r="G1188" s="46"/>
    </row>
    <row r="1189">
      <c r="E1189" s="87"/>
      <c r="F1189" s="87"/>
      <c r="G1189" s="46"/>
    </row>
    <row r="1190">
      <c r="E1190" s="87"/>
      <c r="F1190" s="87"/>
      <c r="G1190" s="46"/>
    </row>
    <row r="1191">
      <c r="E1191" s="87"/>
      <c r="F1191" s="87"/>
      <c r="G1191" s="46"/>
    </row>
    <row r="1192">
      <c r="E1192" s="87"/>
      <c r="F1192" s="87"/>
      <c r="G1192" s="46"/>
    </row>
    <row r="1193">
      <c r="E1193" s="87"/>
      <c r="F1193" s="87"/>
      <c r="G1193" s="46"/>
    </row>
    <row r="1194">
      <c r="E1194" s="87"/>
      <c r="F1194" s="87"/>
      <c r="G1194" s="46"/>
    </row>
    <row r="1195">
      <c r="E1195" s="87"/>
      <c r="F1195" s="87"/>
      <c r="G1195" s="46"/>
    </row>
    <row r="1196">
      <c r="E1196" s="87"/>
      <c r="F1196" s="87"/>
      <c r="G1196" s="46"/>
    </row>
    <row r="1197">
      <c r="E1197" s="87"/>
      <c r="F1197" s="87"/>
      <c r="G1197" s="46"/>
    </row>
    <row r="1198">
      <c r="E1198" s="87"/>
      <c r="F1198" s="87"/>
      <c r="G1198" s="46"/>
    </row>
    <row r="1199">
      <c r="E1199" s="87"/>
      <c r="F1199" s="87"/>
      <c r="G1199" s="46"/>
    </row>
    <row r="1200">
      <c r="E1200" s="87"/>
      <c r="F1200" s="87"/>
      <c r="G1200" s="46"/>
    </row>
    <row r="1201">
      <c r="E1201" s="87"/>
      <c r="F1201" s="87"/>
      <c r="G1201" s="46"/>
    </row>
    <row r="1202">
      <c r="E1202" s="87"/>
      <c r="F1202" s="87"/>
      <c r="G1202" s="46"/>
    </row>
    <row r="1203">
      <c r="E1203" s="87"/>
      <c r="F1203" s="87"/>
      <c r="G1203" s="46"/>
    </row>
    <row r="1204">
      <c r="E1204" s="87"/>
      <c r="F1204" s="87"/>
      <c r="G1204" s="46"/>
    </row>
    <row r="1205">
      <c r="E1205" s="87"/>
      <c r="F1205" s="87"/>
      <c r="G1205" s="46"/>
    </row>
    <row r="1206">
      <c r="E1206" s="87"/>
      <c r="F1206" s="87"/>
      <c r="G1206" s="46"/>
    </row>
    <row r="1207">
      <c r="E1207" s="87"/>
      <c r="F1207" s="87"/>
      <c r="G1207" s="46"/>
    </row>
    <row r="1208">
      <c r="E1208" s="87"/>
      <c r="F1208" s="87"/>
      <c r="G1208" s="46"/>
    </row>
    <row r="1209">
      <c r="E1209" s="87"/>
      <c r="F1209" s="87"/>
      <c r="G1209" s="46"/>
    </row>
    <row r="1210">
      <c r="E1210" s="87"/>
      <c r="F1210" s="87"/>
      <c r="G1210" s="46"/>
    </row>
    <row r="1211">
      <c r="E1211" s="87"/>
      <c r="F1211" s="87"/>
      <c r="G1211" s="46"/>
    </row>
    <row r="1212">
      <c r="E1212" s="87"/>
      <c r="F1212" s="87"/>
      <c r="G1212" s="46"/>
    </row>
    <row r="1213">
      <c r="E1213" s="87"/>
      <c r="F1213" s="87"/>
      <c r="G1213" s="46"/>
    </row>
    <row r="1214">
      <c r="E1214" s="87"/>
      <c r="F1214" s="87"/>
      <c r="G1214" s="46"/>
    </row>
    <row r="1215">
      <c r="E1215" s="87"/>
      <c r="F1215" s="87"/>
      <c r="G1215" s="46"/>
    </row>
    <row r="1216">
      <c r="E1216" s="87"/>
      <c r="F1216" s="87"/>
      <c r="G1216" s="46"/>
    </row>
    <row r="1217">
      <c r="E1217" s="87"/>
      <c r="F1217" s="87"/>
      <c r="G1217" s="46"/>
    </row>
    <row r="1218">
      <c r="E1218" s="87"/>
      <c r="F1218" s="87"/>
      <c r="G1218" s="46"/>
    </row>
    <row r="1219">
      <c r="E1219" s="87"/>
      <c r="F1219" s="87"/>
      <c r="G1219" s="46"/>
    </row>
    <row r="1220">
      <c r="E1220" s="87"/>
      <c r="F1220" s="87"/>
      <c r="G1220" s="46"/>
    </row>
    <row r="1221">
      <c r="E1221" s="87"/>
      <c r="F1221" s="87"/>
      <c r="G1221" s="46"/>
    </row>
    <row r="1222">
      <c r="E1222" s="87"/>
      <c r="F1222" s="87"/>
      <c r="G1222" s="46"/>
    </row>
    <row r="1223">
      <c r="E1223" s="87"/>
      <c r="F1223" s="87"/>
      <c r="G1223" s="46"/>
    </row>
    <row r="1224">
      <c r="E1224" s="87"/>
      <c r="F1224" s="87"/>
      <c r="G1224" s="46"/>
    </row>
    <row r="1225">
      <c r="E1225" s="87"/>
      <c r="F1225" s="87"/>
      <c r="G1225" s="46"/>
    </row>
    <row r="1226">
      <c r="E1226" s="87"/>
      <c r="F1226" s="87"/>
      <c r="G1226" s="46"/>
    </row>
    <row r="1227">
      <c r="E1227" s="87"/>
      <c r="F1227" s="87"/>
      <c r="G1227" s="46"/>
    </row>
    <row r="1228">
      <c r="E1228" s="87"/>
      <c r="F1228" s="87"/>
      <c r="G1228" s="46"/>
    </row>
    <row r="1229">
      <c r="E1229" s="87"/>
      <c r="F1229" s="87"/>
      <c r="G1229" s="46"/>
    </row>
    <row r="1230">
      <c r="E1230" s="87"/>
      <c r="F1230" s="87"/>
      <c r="G1230" s="46"/>
    </row>
    <row r="1231">
      <c r="E1231" s="87"/>
      <c r="F1231" s="87"/>
      <c r="G1231" s="46"/>
    </row>
    <row r="1232">
      <c r="E1232" s="87"/>
      <c r="F1232" s="87"/>
      <c r="G1232" s="46"/>
    </row>
    <row r="1233">
      <c r="E1233" s="87"/>
      <c r="F1233" s="87"/>
      <c r="G1233" s="46"/>
    </row>
    <row r="1234">
      <c r="E1234" s="87"/>
      <c r="F1234" s="87"/>
      <c r="G1234" s="46"/>
    </row>
    <row r="1235">
      <c r="E1235" s="87"/>
      <c r="F1235" s="87"/>
      <c r="G1235" s="46"/>
    </row>
    <row r="1236">
      <c r="E1236" s="87"/>
      <c r="F1236" s="87"/>
      <c r="G1236" s="46"/>
    </row>
    <row r="1237">
      <c r="E1237" s="87"/>
      <c r="F1237" s="87"/>
      <c r="G1237" s="46"/>
    </row>
    <row r="1238">
      <c r="E1238" s="87"/>
      <c r="F1238" s="87"/>
      <c r="G1238" s="46"/>
    </row>
    <row r="1239">
      <c r="E1239" s="87"/>
      <c r="F1239" s="87"/>
      <c r="G1239" s="46"/>
    </row>
    <row r="1240">
      <c r="E1240" s="87"/>
      <c r="F1240" s="87"/>
      <c r="G1240" s="46"/>
    </row>
    <row r="1241">
      <c r="E1241" s="87"/>
      <c r="F1241" s="87"/>
      <c r="G1241" s="46"/>
    </row>
    <row r="1242">
      <c r="E1242" s="87"/>
      <c r="F1242" s="87"/>
      <c r="G1242" s="46"/>
    </row>
    <row r="1243">
      <c r="E1243" s="87"/>
      <c r="F1243" s="87"/>
      <c r="G1243" s="46"/>
    </row>
    <row r="1244">
      <c r="E1244" s="87"/>
      <c r="F1244" s="87"/>
      <c r="G1244" s="46"/>
    </row>
    <row r="1245">
      <c r="E1245" s="87"/>
      <c r="F1245" s="87"/>
      <c r="G1245" s="46"/>
    </row>
    <row r="1246">
      <c r="E1246" s="87"/>
      <c r="F1246" s="87"/>
      <c r="G1246" s="46"/>
    </row>
    <row r="1247">
      <c r="E1247" s="87"/>
      <c r="F1247" s="87"/>
      <c r="G1247" s="46"/>
    </row>
    <row r="1248">
      <c r="E1248" s="87"/>
      <c r="F1248" s="87"/>
      <c r="G1248" s="46"/>
    </row>
    <row r="1249">
      <c r="E1249" s="87"/>
      <c r="F1249" s="87"/>
      <c r="G1249" s="46"/>
    </row>
    <row r="1250">
      <c r="E1250" s="87"/>
      <c r="F1250" s="87"/>
      <c r="G1250" s="46"/>
    </row>
    <row r="1251">
      <c r="E1251" s="87"/>
      <c r="F1251" s="87"/>
      <c r="G1251" s="46"/>
    </row>
    <row r="1252">
      <c r="E1252" s="87"/>
      <c r="F1252" s="87"/>
      <c r="G1252" s="46"/>
    </row>
    <row r="1253">
      <c r="E1253" s="87"/>
      <c r="F1253" s="87"/>
      <c r="G1253" s="46"/>
    </row>
    <row r="1254">
      <c r="E1254" s="87"/>
      <c r="F1254" s="87"/>
      <c r="G1254" s="46"/>
    </row>
    <row r="1255">
      <c r="E1255" s="87"/>
      <c r="F1255" s="87"/>
      <c r="G1255" s="46"/>
    </row>
    <row r="1256">
      <c r="E1256" s="87"/>
      <c r="F1256" s="87"/>
      <c r="G1256" s="46"/>
    </row>
    <row r="1257">
      <c r="E1257" s="87"/>
      <c r="F1257" s="87"/>
      <c r="G1257" s="46"/>
    </row>
    <row r="1258">
      <c r="E1258" s="87"/>
      <c r="F1258" s="87"/>
      <c r="G1258" s="46"/>
    </row>
    <row r="1259">
      <c r="E1259" s="87"/>
      <c r="F1259" s="87"/>
      <c r="G1259" s="46"/>
    </row>
    <row r="1260">
      <c r="E1260" s="87"/>
      <c r="F1260" s="87"/>
      <c r="G1260" s="46"/>
    </row>
    <row r="1261">
      <c r="E1261" s="87"/>
      <c r="F1261" s="87"/>
      <c r="G1261" s="46"/>
    </row>
    <row r="1262">
      <c r="E1262" s="87"/>
      <c r="F1262" s="87"/>
      <c r="G1262" s="46"/>
    </row>
    <row r="1263">
      <c r="E1263" s="87"/>
      <c r="F1263" s="87"/>
      <c r="G1263" s="46"/>
    </row>
    <row r="1264">
      <c r="E1264" s="87"/>
      <c r="F1264" s="87"/>
      <c r="G1264" s="46"/>
    </row>
    <row r="1265">
      <c r="E1265" s="87"/>
      <c r="F1265" s="87"/>
      <c r="G1265" s="46"/>
    </row>
    <row r="1266">
      <c r="E1266" s="87"/>
      <c r="F1266" s="87"/>
      <c r="G1266" s="46"/>
    </row>
    <row r="1267">
      <c r="E1267" s="87"/>
      <c r="F1267" s="87"/>
      <c r="G1267" s="46"/>
    </row>
    <row r="1268">
      <c r="E1268" s="87"/>
      <c r="F1268" s="87"/>
      <c r="G1268" s="46"/>
    </row>
    <row r="1269">
      <c r="E1269" s="87"/>
      <c r="F1269" s="87"/>
      <c r="G1269" s="46"/>
    </row>
    <row r="1270">
      <c r="E1270" s="87"/>
      <c r="F1270" s="87"/>
      <c r="G1270" s="46"/>
    </row>
    <row r="1271">
      <c r="E1271" s="87"/>
      <c r="F1271" s="87"/>
      <c r="G1271" s="46"/>
    </row>
    <row r="1272">
      <c r="E1272" s="87"/>
      <c r="F1272" s="87"/>
      <c r="G1272" s="46"/>
    </row>
    <row r="1273">
      <c r="E1273" s="87"/>
      <c r="F1273" s="87"/>
      <c r="G1273" s="46"/>
    </row>
    <row r="1274">
      <c r="E1274" s="87"/>
      <c r="F1274" s="87"/>
      <c r="G1274" s="46"/>
    </row>
    <row r="1275">
      <c r="E1275" s="87"/>
      <c r="F1275" s="87"/>
      <c r="G1275" s="46"/>
    </row>
    <row r="1276">
      <c r="E1276" s="87"/>
      <c r="F1276" s="87"/>
      <c r="G1276" s="46"/>
    </row>
    <row r="1277">
      <c r="E1277" s="87"/>
      <c r="F1277" s="87"/>
      <c r="G1277" s="46"/>
    </row>
    <row r="1278">
      <c r="E1278" s="87"/>
      <c r="F1278" s="87"/>
      <c r="G1278" s="46"/>
    </row>
    <row r="1279">
      <c r="E1279" s="87"/>
      <c r="F1279" s="87"/>
      <c r="G1279" s="46"/>
    </row>
    <row r="1280">
      <c r="E1280" s="87"/>
      <c r="F1280" s="87"/>
      <c r="G1280" s="46"/>
    </row>
    <row r="1281">
      <c r="E1281" s="87"/>
      <c r="F1281" s="87"/>
      <c r="G1281" s="46"/>
    </row>
    <row r="1282">
      <c r="E1282" s="87"/>
      <c r="F1282" s="87"/>
      <c r="G1282" s="46"/>
    </row>
    <row r="1283">
      <c r="E1283" s="87"/>
      <c r="F1283" s="87"/>
      <c r="G1283" s="46"/>
    </row>
    <row r="1284">
      <c r="E1284" s="87"/>
      <c r="F1284" s="87"/>
      <c r="G1284" s="46"/>
    </row>
    <row r="1285">
      <c r="E1285" s="87"/>
      <c r="F1285" s="87"/>
      <c r="G1285" s="46"/>
    </row>
    <row r="1286">
      <c r="E1286" s="87"/>
      <c r="F1286" s="87"/>
      <c r="G1286" s="46"/>
    </row>
    <row r="1287">
      <c r="E1287" s="87"/>
      <c r="F1287" s="87"/>
      <c r="G1287" s="46"/>
    </row>
    <row r="1288">
      <c r="E1288" s="87"/>
      <c r="F1288" s="87"/>
      <c r="G1288" s="46"/>
    </row>
    <row r="1289">
      <c r="E1289" s="87"/>
      <c r="F1289" s="87"/>
      <c r="G1289" s="46"/>
    </row>
    <row r="1290">
      <c r="E1290" s="87"/>
      <c r="F1290" s="87"/>
      <c r="G1290" s="46"/>
    </row>
    <row r="1291">
      <c r="E1291" s="87"/>
      <c r="F1291" s="87"/>
      <c r="G1291" s="46"/>
    </row>
    <row r="1292">
      <c r="E1292" s="87"/>
      <c r="F1292" s="87"/>
      <c r="G1292" s="46"/>
    </row>
    <row r="1293">
      <c r="E1293" s="87"/>
      <c r="F1293" s="87"/>
      <c r="G1293" s="46"/>
    </row>
    <row r="1294">
      <c r="E1294" s="87"/>
      <c r="F1294" s="87"/>
      <c r="G1294" s="46"/>
    </row>
    <row r="1295">
      <c r="E1295" s="87"/>
      <c r="F1295" s="87"/>
      <c r="G1295" s="46"/>
    </row>
    <row r="1296">
      <c r="E1296" s="87"/>
      <c r="F1296" s="87"/>
      <c r="G1296" s="46"/>
    </row>
    <row r="1297">
      <c r="E1297" s="87"/>
      <c r="F1297" s="87"/>
      <c r="G1297" s="46"/>
    </row>
    <row r="1298">
      <c r="E1298" s="87"/>
      <c r="F1298" s="87"/>
      <c r="G1298" s="46"/>
    </row>
    <row r="1299">
      <c r="E1299" s="87"/>
      <c r="F1299" s="87"/>
      <c r="G1299" s="46"/>
    </row>
    <row r="1300">
      <c r="E1300" s="87"/>
      <c r="F1300" s="87"/>
      <c r="G1300" s="46"/>
    </row>
    <row r="1301">
      <c r="E1301" s="87"/>
      <c r="F1301" s="87"/>
      <c r="G1301" s="46"/>
    </row>
    <row r="1302">
      <c r="E1302" s="87"/>
      <c r="F1302" s="87"/>
      <c r="G1302" s="46"/>
    </row>
    <row r="1303">
      <c r="E1303" s="87"/>
      <c r="F1303" s="87"/>
      <c r="G1303" s="46"/>
    </row>
    <row r="1304">
      <c r="E1304" s="87"/>
      <c r="F1304" s="87"/>
      <c r="G1304" s="46"/>
    </row>
    <row r="1305">
      <c r="E1305" s="87"/>
      <c r="F1305" s="87"/>
      <c r="G1305" s="46"/>
    </row>
    <row r="1306">
      <c r="E1306" s="87"/>
      <c r="F1306" s="87"/>
      <c r="G1306" s="46"/>
    </row>
    <row r="1307">
      <c r="E1307" s="87"/>
      <c r="F1307" s="87"/>
      <c r="G1307" s="46"/>
    </row>
    <row r="1308">
      <c r="E1308" s="87"/>
      <c r="F1308" s="87"/>
      <c r="G1308" s="46"/>
    </row>
    <row r="1309">
      <c r="E1309" s="87"/>
      <c r="F1309" s="87"/>
      <c r="G1309" s="46"/>
    </row>
    <row r="1310">
      <c r="E1310" s="87"/>
      <c r="F1310" s="87"/>
      <c r="G1310" s="46"/>
    </row>
    <row r="1311">
      <c r="E1311" s="87"/>
      <c r="F1311" s="87"/>
      <c r="G1311" s="46"/>
    </row>
    <row r="1312">
      <c r="E1312" s="87"/>
      <c r="F1312" s="87"/>
      <c r="G1312" s="46"/>
    </row>
    <row r="1313">
      <c r="E1313" s="87"/>
      <c r="F1313" s="87"/>
      <c r="G1313" s="46"/>
    </row>
    <row r="1314">
      <c r="E1314" s="87"/>
      <c r="F1314" s="87"/>
      <c r="G1314" s="46"/>
    </row>
    <row r="1315">
      <c r="E1315" s="87"/>
      <c r="F1315" s="87"/>
      <c r="G1315" s="46"/>
    </row>
    <row r="1316">
      <c r="E1316" s="87"/>
      <c r="F1316" s="87"/>
      <c r="G1316" s="46"/>
    </row>
    <row r="1317">
      <c r="E1317" s="87"/>
      <c r="F1317" s="87"/>
      <c r="G1317" s="46"/>
    </row>
    <row r="1318">
      <c r="E1318" s="87"/>
      <c r="F1318" s="87"/>
      <c r="G1318" s="46"/>
    </row>
    <row r="1319">
      <c r="E1319" s="87"/>
      <c r="F1319" s="87"/>
      <c r="G1319" s="46"/>
    </row>
    <row r="1320">
      <c r="E1320" s="87"/>
      <c r="F1320" s="87"/>
      <c r="G1320" s="46"/>
    </row>
    <row r="1321">
      <c r="E1321" s="87"/>
      <c r="F1321" s="87"/>
      <c r="G1321" s="46"/>
    </row>
    <row r="1322">
      <c r="E1322" s="87"/>
      <c r="F1322" s="87"/>
      <c r="G1322" s="46"/>
    </row>
    <row r="1323">
      <c r="E1323" s="87"/>
      <c r="F1323" s="87"/>
      <c r="G1323" s="46"/>
    </row>
    <row r="1324">
      <c r="E1324" s="87"/>
      <c r="F1324" s="87"/>
      <c r="G1324" s="46"/>
    </row>
    <row r="1325">
      <c r="E1325" s="87"/>
      <c r="F1325" s="87"/>
      <c r="G1325" s="46"/>
    </row>
    <row r="1326">
      <c r="E1326" s="87"/>
      <c r="F1326" s="87"/>
      <c r="G1326" s="46"/>
    </row>
    <row r="1327">
      <c r="E1327" s="87"/>
      <c r="F1327" s="87"/>
      <c r="G1327" s="46"/>
    </row>
    <row r="1328">
      <c r="E1328" s="87"/>
      <c r="F1328" s="87"/>
      <c r="G1328" s="46"/>
    </row>
    <row r="1329">
      <c r="E1329" s="87"/>
      <c r="F1329" s="87"/>
      <c r="G1329" s="46"/>
    </row>
    <row r="1330">
      <c r="E1330" s="87"/>
      <c r="F1330" s="87"/>
      <c r="G1330" s="46"/>
    </row>
    <row r="1331">
      <c r="E1331" s="87"/>
      <c r="F1331" s="87"/>
      <c r="G1331" s="46"/>
    </row>
    <row r="1332">
      <c r="E1332" s="87"/>
      <c r="F1332" s="87"/>
      <c r="G1332" s="46"/>
    </row>
    <row r="1333">
      <c r="E1333" s="87"/>
      <c r="F1333" s="87"/>
      <c r="G1333" s="46"/>
    </row>
    <row r="1334">
      <c r="E1334" s="87"/>
      <c r="F1334" s="87"/>
      <c r="G1334" s="46"/>
    </row>
    <row r="1335">
      <c r="E1335" s="87"/>
      <c r="F1335" s="87"/>
      <c r="G1335" s="46"/>
    </row>
    <row r="1336">
      <c r="E1336" s="87"/>
      <c r="F1336" s="87"/>
      <c r="G1336" s="46"/>
    </row>
    <row r="1337">
      <c r="E1337" s="87"/>
      <c r="F1337" s="87"/>
      <c r="G1337" s="46"/>
    </row>
    <row r="1338">
      <c r="E1338" s="87"/>
      <c r="F1338" s="87"/>
      <c r="G1338" s="46"/>
    </row>
    <row r="1339">
      <c r="E1339" s="87"/>
      <c r="F1339" s="87"/>
      <c r="G1339" s="46"/>
    </row>
    <row r="1340">
      <c r="E1340" s="87"/>
      <c r="F1340" s="87"/>
      <c r="G1340" s="46"/>
    </row>
    <row r="1341">
      <c r="E1341" s="87"/>
      <c r="F1341" s="87"/>
      <c r="G1341" s="46"/>
    </row>
    <row r="1342">
      <c r="E1342" s="87"/>
      <c r="F1342" s="87"/>
      <c r="G1342" s="46"/>
    </row>
    <row r="1343">
      <c r="E1343" s="87"/>
      <c r="F1343" s="87"/>
      <c r="G1343" s="46"/>
    </row>
    <row r="1344">
      <c r="E1344" s="87"/>
      <c r="F1344" s="87"/>
      <c r="G1344" s="46"/>
    </row>
    <row r="1345">
      <c r="E1345" s="87"/>
      <c r="F1345" s="87"/>
      <c r="G1345" s="46"/>
    </row>
    <row r="1346">
      <c r="E1346" s="87"/>
      <c r="F1346" s="87"/>
      <c r="G1346" s="46"/>
    </row>
    <row r="1347">
      <c r="E1347" s="87"/>
      <c r="F1347" s="87"/>
      <c r="G1347" s="46"/>
    </row>
    <row r="1348">
      <c r="E1348" s="87"/>
      <c r="F1348" s="87"/>
      <c r="G1348" s="46"/>
    </row>
    <row r="1349">
      <c r="E1349" s="87"/>
      <c r="F1349" s="87"/>
      <c r="G1349" s="46"/>
    </row>
    <row r="1350">
      <c r="E1350" s="87"/>
      <c r="F1350" s="87"/>
      <c r="G1350" s="46"/>
    </row>
    <row r="1351">
      <c r="E1351" s="87"/>
      <c r="F1351" s="87"/>
      <c r="G1351" s="46"/>
    </row>
    <row r="1352">
      <c r="E1352" s="87"/>
      <c r="F1352" s="87"/>
      <c r="G1352" s="46"/>
    </row>
    <row r="1353">
      <c r="E1353" s="87"/>
      <c r="F1353" s="87"/>
      <c r="G1353" s="46"/>
    </row>
    <row r="1354">
      <c r="E1354" s="87"/>
      <c r="F1354" s="87"/>
      <c r="G1354" s="46"/>
    </row>
    <row r="1355">
      <c r="E1355" s="87"/>
      <c r="F1355" s="87"/>
      <c r="G1355" s="46"/>
    </row>
    <row r="1356">
      <c r="E1356" s="87"/>
      <c r="F1356" s="87"/>
      <c r="G1356" s="46"/>
    </row>
    <row r="1357">
      <c r="E1357" s="87"/>
      <c r="F1357" s="87"/>
      <c r="G1357" s="46"/>
    </row>
    <row r="1358">
      <c r="E1358" s="87"/>
      <c r="F1358" s="87"/>
      <c r="G1358" s="46"/>
    </row>
    <row r="1359">
      <c r="E1359" s="87"/>
      <c r="F1359" s="87"/>
      <c r="G1359" s="46"/>
    </row>
    <row r="1360">
      <c r="E1360" s="87"/>
      <c r="F1360" s="87"/>
      <c r="G1360" s="46"/>
    </row>
    <row r="1361">
      <c r="E1361" s="87"/>
      <c r="F1361" s="87"/>
      <c r="G1361" s="46"/>
    </row>
    <row r="1362">
      <c r="E1362" s="87"/>
      <c r="F1362" s="87"/>
      <c r="G1362" s="46"/>
    </row>
    <row r="1363">
      <c r="E1363" s="87"/>
      <c r="F1363" s="87"/>
      <c r="G1363" s="46"/>
    </row>
    <row r="1364">
      <c r="E1364" s="87"/>
      <c r="F1364" s="87"/>
      <c r="G1364" s="46"/>
    </row>
    <row r="1365">
      <c r="E1365" s="87"/>
      <c r="F1365" s="87"/>
      <c r="G1365" s="46"/>
    </row>
    <row r="1366">
      <c r="E1366" s="87"/>
      <c r="F1366" s="87"/>
      <c r="G1366" s="46"/>
    </row>
    <row r="1367">
      <c r="E1367" s="87"/>
      <c r="F1367" s="87"/>
      <c r="G1367" s="46"/>
    </row>
    <row r="1368">
      <c r="E1368" s="87"/>
      <c r="F1368" s="87"/>
      <c r="G1368" s="46"/>
    </row>
    <row r="1369">
      <c r="E1369" s="87"/>
      <c r="F1369" s="87"/>
      <c r="G1369" s="46"/>
    </row>
    <row r="1370">
      <c r="E1370" s="87"/>
      <c r="F1370" s="87"/>
      <c r="G1370" s="46"/>
    </row>
    <row r="1371">
      <c r="E1371" s="87"/>
      <c r="F1371" s="87"/>
      <c r="G1371" s="46"/>
    </row>
    <row r="1372">
      <c r="E1372" s="87"/>
      <c r="F1372" s="87"/>
      <c r="G1372" s="46"/>
    </row>
    <row r="1373">
      <c r="E1373" s="87"/>
      <c r="F1373" s="87"/>
      <c r="G1373" s="46"/>
    </row>
    <row r="1374">
      <c r="E1374" s="87"/>
      <c r="F1374" s="87"/>
      <c r="G1374" s="46"/>
    </row>
    <row r="1375">
      <c r="E1375" s="87"/>
      <c r="F1375" s="87"/>
      <c r="G1375" s="46"/>
    </row>
    <row r="1376">
      <c r="E1376" s="87"/>
      <c r="F1376" s="87"/>
      <c r="G1376" s="46"/>
    </row>
    <row r="1377">
      <c r="E1377" s="87"/>
      <c r="F1377" s="87"/>
      <c r="G1377" s="46"/>
    </row>
    <row r="1378">
      <c r="E1378" s="87"/>
      <c r="F1378" s="87"/>
      <c r="G1378" s="46"/>
    </row>
    <row r="1379">
      <c r="E1379" s="87"/>
      <c r="F1379" s="87"/>
      <c r="G1379" s="46"/>
    </row>
    <row r="1380">
      <c r="E1380" s="87"/>
      <c r="F1380" s="87"/>
      <c r="G1380" s="46"/>
    </row>
    <row r="1381">
      <c r="E1381" s="87"/>
      <c r="F1381" s="87"/>
      <c r="G1381" s="46"/>
    </row>
    <row r="1382">
      <c r="E1382" s="87"/>
      <c r="F1382" s="87"/>
      <c r="G1382" s="46"/>
    </row>
    <row r="1383">
      <c r="E1383" s="87"/>
      <c r="F1383" s="87"/>
      <c r="G1383" s="46"/>
    </row>
    <row r="1384">
      <c r="E1384" s="87"/>
      <c r="F1384" s="87"/>
      <c r="G1384" s="46"/>
    </row>
    <row r="1385">
      <c r="E1385" s="87"/>
      <c r="F1385" s="87"/>
      <c r="G1385" s="46"/>
    </row>
    <row r="1386">
      <c r="E1386" s="87"/>
      <c r="F1386" s="87"/>
      <c r="G1386" s="46"/>
    </row>
    <row r="1387">
      <c r="E1387" s="87"/>
      <c r="F1387" s="87"/>
      <c r="G1387" s="46"/>
    </row>
    <row r="1388">
      <c r="E1388" s="87"/>
      <c r="F1388" s="87"/>
      <c r="G1388" s="46"/>
    </row>
    <row r="1389">
      <c r="E1389" s="87"/>
      <c r="F1389" s="87"/>
      <c r="G1389" s="46"/>
    </row>
    <row r="1390">
      <c r="E1390" s="87"/>
      <c r="F1390" s="87"/>
      <c r="G1390" s="46"/>
    </row>
    <row r="1391">
      <c r="E1391" s="87"/>
      <c r="F1391" s="87"/>
      <c r="G1391" s="46"/>
    </row>
    <row r="1392">
      <c r="E1392" s="87"/>
      <c r="F1392" s="87"/>
      <c r="G1392" s="46"/>
    </row>
    <row r="1393">
      <c r="E1393" s="87"/>
      <c r="F1393" s="87"/>
      <c r="G1393" s="46"/>
    </row>
    <row r="1394">
      <c r="E1394" s="87"/>
      <c r="F1394" s="87"/>
      <c r="G1394" s="46"/>
    </row>
    <row r="1395">
      <c r="E1395" s="87"/>
      <c r="F1395" s="87"/>
      <c r="G1395" s="46"/>
    </row>
    <row r="1396">
      <c r="E1396" s="87"/>
      <c r="F1396" s="87"/>
      <c r="G1396" s="46"/>
    </row>
    <row r="1397">
      <c r="E1397" s="87"/>
      <c r="F1397" s="87"/>
      <c r="G1397" s="46"/>
    </row>
    <row r="1398">
      <c r="E1398" s="87"/>
      <c r="F1398" s="87"/>
      <c r="G1398" s="46"/>
    </row>
    <row r="1399">
      <c r="E1399" s="87"/>
      <c r="F1399" s="87"/>
      <c r="G1399" s="46"/>
    </row>
    <row r="1400">
      <c r="E1400" s="87"/>
      <c r="F1400" s="87"/>
      <c r="G1400" s="46"/>
    </row>
    <row r="1401">
      <c r="E1401" s="87"/>
      <c r="F1401" s="87"/>
      <c r="G1401" s="46"/>
    </row>
    <row r="1402">
      <c r="E1402" s="87"/>
      <c r="F1402" s="87"/>
      <c r="G1402" s="46"/>
    </row>
    <row r="1403">
      <c r="E1403" s="87"/>
      <c r="F1403" s="87"/>
      <c r="G1403" s="46"/>
    </row>
    <row r="1404">
      <c r="E1404" s="87"/>
      <c r="F1404" s="87"/>
      <c r="G1404" s="46"/>
    </row>
    <row r="1405">
      <c r="E1405" s="87"/>
      <c r="F1405" s="87"/>
      <c r="G1405" s="46"/>
    </row>
    <row r="1406">
      <c r="E1406" s="87"/>
      <c r="F1406" s="87"/>
      <c r="G1406" s="46"/>
    </row>
    <row r="1407">
      <c r="E1407" s="87"/>
      <c r="F1407" s="87"/>
      <c r="G1407" s="46"/>
    </row>
    <row r="1408">
      <c r="E1408" s="87"/>
      <c r="F1408" s="87"/>
      <c r="G1408" s="46"/>
    </row>
    <row r="1409">
      <c r="E1409" s="87"/>
      <c r="F1409" s="87"/>
      <c r="G1409" s="46"/>
    </row>
    <row r="1410">
      <c r="E1410" s="87"/>
      <c r="F1410" s="87"/>
      <c r="G1410" s="46"/>
    </row>
    <row r="1411">
      <c r="E1411" s="87"/>
      <c r="F1411" s="87"/>
      <c r="G1411" s="46"/>
    </row>
    <row r="1412">
      <c r="E1412" s="87"/>
      <c r="F1412" s="87"/>
      <c r="G1412" s="46"/>
    </row>
    <row r="1413">
      <c r="E1413" s="87"/>
      <c r="F1413" s="87"/>
      <c r="G1413" s="46"/>
    </row>
    <row r="1414">
      <c r="E1414" s="87"/>
      <c r="F1414" s="87"/>
      <c r="G1414" s="46"/>
    </row>
    <row r="1415">
      <c r="E1415" s="87"/>
      <c r="F1415" s="87"/>
      <c r="G1415" s="46"/>
    </row>
    <row r="1416">
      <c r="E1416" s="87"/>
      <c r="F1416" s="87"/>
      <c r="G1416" s="46"/>
    </row>
    <row r="1417">
      <c r="E1417" s="87"/>
      <c r="F1417" s="87"/>
      <c r="G1417" s="46"/>
    </row>
    <row r="1418">
      <c r="E1418" s="87"/>
      <c r="F1418" s="87"/>
      <c r="G1418" s="46"/>
    </row>
    <row r="1419">
      <c r="E1419" s="87"/>
      <c r="F1419" s="87"/>
      <c r="G1419" s="46"/>
    </row>
    <row r="1420">
      <c r="E1420" s="87"/>
      <c r="F1420" s="87"/>
      <c r="G1420" s="46"/>
    </row>
    <row r="1421">
      <c r="E1421" s="87"/>
      <c r="F1421" s="87"/>
      <c r="G1421" s="46"/>
    </row>
    <row r="1422">
      <c r="E1422" s="87"/>
      <c r="F1422" s="87"/>
      <c r="G1422" s="46"/>
    </row>
    <row r="1423">
      <c r="E1423" s="87"/>
      <c r="F1423" s="87"/>
      <c r="G1423" s="46"/>
    </row>
    <row r="1424">
      <c r="E1424" s="87"/>
      <c r="F1424" s="87"/>
      <c r="G1424" s="46"/>
    </row>
    <row r="1425">
      <c r="E1425" s="87"/>
      <c r="F1425" s="87"/>
      <c r="G1425" s="46"/>
    </row>
    <row r="1426">
      <c r="E1426" s="87"/>
      <c r="F1426" s="87"/>
      <c r="G1426" s="46"/>
    </row>
    <row r="1427">
      <c r="E1427" s="87"/>
      <c r="F1427" s="87"/>
      <c r="G1427" s="46"/>
    </row>
    <row r="1428">
      <c r="E1428" s="87"/>
      <c r="F1428" s="87"/>
      <c r="G1428" s="46"/>
    </row>
    <row r="1429">
      <c r="E1429" s="87"/>
      <c r="F1429" s="87"/>
      <c r="G1429" s="46"/>
    </row>
    <row r="1430">
      <c r="E1430" s="87"/>
      <c r="F1430" s="87"/>
      <c r="G1430" s="46"/>
    </row>
    <row r="1431">
      <c r="E1431" s="87"/>
      <c r="F1431" s="87"/>
      <c r="G1431" s="46"/>
    </row>
    <row r="1432">
      <c r="E1432" s="87"/>
      <c r="F1432" s="87"/>
      <c r="G1432" s="46"/>
    </row>
    <row r="1433">
      <c r="E1433" s="87"/>
      <c r="F1433" s="87"/>
      <c r="G1433" s="46"/>
    </row>
    <row r="1434">
      <c r="E1434" s="87"/>
      <c r="F1434" s="87"/>
      <c r="G1434" s="46"/>
    </row>
    <row r="1435">
      <c r="E1435" s="87"/>
      <c r="F1435" s="87"/>
      <c r="G1435" s="46"/>
    </row>
    <row r="1436">
      <c r="E1436" s="87"/>
      <c r="F1436" s="87"/>
      <c r="G1436" s="46"/>
    </row>
    <row r="1437">
      <c r="E1437" s="87"/>
      <c r="F1437" s="87"/>
      <c r="G1437" s="46"/>
    </row>
    <row r="1438">
      <c r="E1438" s="87"/>
      <c r="F1438" s="87"/>
      <c r="G1438" s="46"/>
    </row>
    <row r="1439">
      <c r="E1439" s="87"/>
      <c r="F1439" s="87"/>
      <c r="G1439" s="46"/>
    </row>
    <row r="1440">
      <c r="E1440" s="87"/>
      <c r="F1440" s="87"/>
      <c r="G1440" s="46"/>
    </row>
    <row r="1441">
      <c r="E1441" s="87"/>
      <c r="F1441" s="87"/>
      <c r="G1441" s="46"/>
    </row>
    <row r="1442">
      <c r="E1442" s="87"/>
      <c r="F1442" s="87"/>
      <c r="G1442" s="46"/>
    </row>
    <row r="1443">
      <c r="E1443" s="87"/>
      <c r="F1443" s="87"/>
      <c r="G1443" s="46"/>
    </row>
    <row r="1444">
      <c r="E1444" s="87"/>
      <c r="F1444" s="87"/>
      <c r="G1444" s="46"/>
    </row>
    <row r="1445">
      <c r="E1445" s="87"/>
      <c r="F1445" s="87"/>
      <c r="G1445" s="46"/>
    </row>
    <row r="1446">
      <c r="E1446" s="87"/>
      <c r="F1446" s="87"/>
      <c r="G1446" s="46"/>
    </row>
    <row r="1447">
      <c r="E1447" s="87"/>
      <c r="F1447" s="87"/>
      <c r="G1447" s="46"/>
    </row>
    <row r="1448">
      <c r="E1448" s="87"/>
      <c r="F1448" s="87"/>
      <c r="G1448" s="46"/>
    </row>
    <row r="1449">
      <c r="E1449" s="87"/>
      <c r="F1449" s="87"/>
      <c r="G1449" s="46"/>
    </row>
    <row r="1450">
      <c r="E1450" s="87"/>
      <c r="F1450" s="87"/>
      <c r="G1450" s="46"/>
    </row>
    <row r="1451">
      <c r="E1451" s="87"/>
      <c r="F1451" s="87"/>
      <c r="G1451" s="46"/>
    </row>
    <row r="1452">
      <c r="E1452" s="87"/>
      <c r="F1452" s="87"/>
      <c r="G1452" s="46"/>
    </row>
    <row r="1453">
      <c r="E1453" s="87"/>
      <c r="F1453" s="87"/>
      <c r="G1453" s="46"/>
    </row>
    <row r="1454">
      <c r="E1454" s="87"/>
      <c r="F1454" s="87"/>
      <c r="G1454" s="46"/>
    </row>
    <row r="1455">
      <c r="E1455" s="87"/>
      <c r="F1455" s="87"/>
      <c r="G1455" s="46"/>
    </row>
    <row r="1456">
      <c r="E1456" s="87"/>
      <c r="F1456" s="87"/>
      <c r="G1456" s="46"/>
    </row>
    <row r="1457">
      <c r="E1457" s="87"/>
      <c r="F1457" s="87"/>
      <c r="G1457" s="46"/>
    </row>
    <row r="1458">
      <c r="E1458" s="87"/>
      <c r="F1458" s="87"/>
      <c r="G1458" s="46"/>
    </row>
    <row r="1459">
      <c r="E1459" s="87"/>
      <c r="F1459" s="87"/>
      <c r="G1459" s="46"/>
    </row>
    <row r="1460">
      <c r="E1460" s="87"/>
      <c r="F1460" s="87"/>
      <c r="G1460" s="46"/>
    </row>
    <row r="1461">
      <c r="E1461" s="87"/>
      <c r="F1461" s="87"/>
      <c r="G1461" s="46"/>
    </row>
    <row r="1462">
      <c r="E1462" s="87"/>
      <c r="F1462" s="87"/>
      <c r="G1462" s="46"/>
    </row>
    <row r="1463">
      <c r="E1463" s="87"/>
      <c r="F1463" s="87"/>
      <c r="G1463" s="46"/>
    </row>
    <row r="1464">
      <c r="E1464" s="87"/>
      <c r="F1464" s="87"/>
      <c r="G1464" s="46"/>
    </row>
    <row r="1465">
      <c r="E1465" s="87"/>
      <c r="F1465" s="87"/>
      <c r="G1465" s="46"/>
    </row>
    <row r="1466">
      <c r="E1466" s="87"/>
      <c r="F1466" s="87"/>
      <c r="G1466" s="46"/>
    </row>
    <row r="1467">
      <c r="E1467" s="87"/>
      <c r="F1467" s="87"/>
      <c r="G1467" s="46"/>
    </row>
    <row r="1468">
      <c r="E1468" s="87"/>
      <c r="F1468" s="87"/>
      <c r="G1468" s="46"/>
    </row>
    <row r="1469">
      <c r="E1469" s="87"/>
      <c r="F1469" s="87"/>
      <c r="G1469" s="46"/>
    </row>
    <row r="1470">
      <c r="E1470" s="87"/>
      <c r="F1470" s="87"/>
      <c r="G1470" s="46"/>
    </row>
    <row r="1471">
      <c r="E1471" s="87"/>
      <c r="F1471" s="87"/>
      <c r="G1471" s="46"/>
    </row>
    <row r="1472">
      <c r="E1472" s="87"/>
      <c r="F1472" s="87"/>
      <c r="G1472" s="46"/>
    </row>
    <row r="1473">
      <c r="E1473" s="87"/>
      <c r="F1473" s="87"/>
      <c r="G1473" s="46"/>
    </row>
    <row r="1474">
      <c r="E1474" s="87"/>
      <c r="F1474" s="87"/>
      <c r="G1474" s="46"/>
    </row>
    <row r="1475">
      <c r="E1475" s="87"/>
      <c r="F1475" s="87"/>
      <c r="G1475" s="46"/>
    </row>
    <row r="1476">
      <c r="E1476" s="87"/>
      <c r="F1476" s="87"/>
      <c r="G1476" s="46"/>
    </row>
    <row r="1477">
      <c r="E1477" s="87"/>
      <c r="F1477" s="87"/>
      <c r="G1477" s="46"/>
    </row>
    <row r="1478">
      <c r="E1478" s="87"/>
      <c r="F1478" s="87"/>
      <c r="G1478" s="46"/>
    </row>
    <row r="1479">
      <c r="E1479" s="87"/>
      <c r="F1479" s="87"/>
      <c r="G1479" s="46"/>
    </row>
    <row r="1480">
      <c r="E1480" s="87"/>
      <c r="F1480" s="87"/>
      <c r="G1480" s="46"/>
    </row>
    <row r="1481">
      <c r="E1481" s="87"/>
      <c r="F1481" s="87"/>
      <c r="G1481" s="46"/>
    </row>
    <row r="1482">
      <c r="E1482" s="87"/>
      <c r="F1482" s="87"/>
      <c r="G1482" s="46"/>
    </row>
    <row r="1483">
      <c r="E1483" s="87"/>
      <c r="F1483" s="87"/>
      <c r="G1483" s="46"/>
    </row>
    <row r="1484">
      <c r="E1484" s="87"/>
      <c r="F1484" s="87"/>
      <c r="G1484" s="46"/>
    </row>
    <row r="1485">
      <c r="E1485" s="87"/>
      <c r="F1485" s="87"/>
      <c r="G1485" s="46"/>
    </row>
    <row r="1486">
      <c r="E1486" s="87"/>
      <c r="F1486" s="87"/>
      <c r="G1486" s="46"/>
    </row>
    <row r="1487">
      <c r="E1487" s="87"/>
      <c r="F1487" s="87"/>
      <c r="G1487" s="46"/>
    </row>
    <row r="1488">
      <c r="E1488" s="87"/>
      <c r="F1488" s="87"/>
      <c r="G1488" s="46"/>
    </row>
    <row r="1489">
      <c r="E1489" s="87"/>
      <c r="F1489" s="87"/>
      <c r="G1489" s="46"/>
    </row>
    <row r="1490">
      <c r="E1490" s="87"/>
      <c r="F1490" s="87"/>
      <c r="G1490" s="46"/>
    </row>
    <row r="1491">
      <c r="E1491" s="87"/>
      <c r="F1491" s="87"/>
      <c r="G1491" s="46"/>
    </row>
    <row r="1492">
      <c r="E1492" s="87"/>
      <c r="F1492" s="87"/>
      <c r="G1492" s="46"/>
    </row>
    <row r="1493">
      <c r="E1493" s="87"/>
      <c r="F1493" s="87"/>
      <c r="G1493" s="46"/>
    </row>
    <row r="1494">
      <c r="E1494" s="87"/>
      <c r="F1494" s="87"/>
      <c r="G1494" s="46"/>
    </row>
    <row r="1495">
      <c r="E1495" s="87"/>
      <c r="F1495" s="87"/>
      <c r="G1495" s="46"/>
    </row>
    <row r="1496">
      <c r="E1496" s="87"/>
      <c r="F1496" s="87"/>
      <c r="G1496" s="46"/>
    </row>
    <row r="1497">
      <c r="E1497" s="87"/>
      <c r="F1497" s="87"/>
      <c r="G1497" s="46"/>
    </row>
    <row r="1498">
      <c r="E1498" s="87"/>
      <c r="F1498" s="87"/>
      <c r="G1498" s="46"/>
    </row>
    <row r="1499">
      <c r="E1499" s="87"/>
      <c r="F1499" s="87"/>
      <c r="G1499" s="46"/>
    </row>
    <row r="1500">
      <c r="E1500" s="87"/>
      <c r="F1500" s="87"/>
      <c r="G1500" s="46"/>
    </row>
    <row r="1501">
      <c r="E1501" s="87"/>
      <c r="F1501" s="87"/>
      <c r="G1501" s="46"/>
    </row>
    <row r="1502">
      <c r="E1502" s="87"/>
      <c r="F1502" s="87"/>
      <c r="G1502" s="46"/>
    </row>
    <row r="1503">
      <c r="E1503" s="87"/>
      <c r="F1503" s="87"/>
      <c r="G1503" s="46"/>
    </row>
    <row r="1504">
      <c r="E1504" s="87"/>
      <c r="F1504" s="87"/>
      <c r="G1504" s="46"/>
    </row>
    <row r="1505">
      <c r="E1505" s="87"/>
      <c r="F1505" s="87"/>
      <c r="G1505" s="46"/>
    </row>
    <row r="1506">
      <c r="E1506" s="87"/>
      <c r="F1506" s="87"/>
      <c r="G1506" s="46"/>
    </row>
    <row r="1507">
      <c r="E1507" s="87"/>
      <c r="F1507" s="87"/>
      <c r="G1507" s="46"/>
    </row>
    <row r="1508">
      <c r="E1508" s="87"/>
      <c r="F1508" s="87"/>
      <c r="G1508" s="46"/>
    </row>
    <row r="1509">
      <c r="E1509" s="87"/>
      <c r="F1509" s="87"/>
      <c r="G1509" s="46"/>
    </row>
    <row r="1510">
      <c r="E1510" s="87"/>
      <c r="F1510" s="87"/>
      <c r="G1510" s="46"/>
    </row>
    <row r="1511">
      <c r="E1511" s="87"/>
      <c r="F1511" s="87"/>
      <c r="G1511" s="46"/>
    </row>
    <row r="1512">
      <c r="E1512" s="87"/>
      <c r="F1512" s="87"/>
      <c r="G1512" s="46"/>
    </row>
    <row r="1513">
      <c r="E1513" s="87"/>
      <c r="F1513" s="87"/>
      <c r="G1513" s="46"/>
    </row>
    <row r="1514">
      <c r="E1514" s="87"/>
      <c r="F1514" s="87"/>
      <c r="G1514" s="46"/>
    </row>
    <row r="1515">
      <c r="E1515" s="87"/>
      <c r="F1515" s="87"/>
      <c r="G1515" s="46"/>
    </row>
    <row r="1516">
      <c r="E1516" s="87"/>
      <c r="F1516" s="87"/>
      <c r="G1516" s="46"/>
    </row>
    <row r="1517">
      <c r="E1517" s="87"/>
      <c r="F1517" s="87"/>
      <c r="G1517" s="46"/>
    </row>
    <row r="1518">
      <c r="E1518" s="87"/>
      <c r="F1518" s="87"/>
      <c r="G1518" s="46"/>
    </row>
    <row r="1519">
      <c r="E1519" s="87"/>
      <c r="F1519" s="87"/>
      <c r="G1519" s="46"/>
    </row>
    <row r="1520">
      <c r="E1520" s="87"/>
      <c r="F1520" s="87"/>
      <c r="G1520" s="46"/>
    </row>
    <row r="1521">
      <c r="E1521" s="87"/>
      <c r="F1521" s="87"/>
      <c r="G1521" s="46"/>
    </row>
    <row r="1522">
      <c r="E1522" s="87"/>
      <c r="F1522" s="87"/>
      <c r="G1522" s="46"/>
    </row>
    <row r="1523">
      <c r="E1523" s="87"/>
      <c r="F1523" s="87"/>
      <c r="G1523" s="46"/>
    </row>
    <row r="1524">
      <c r="E1524" s="87"/>
      <c r="F1524" s="87"/>
      <c r="G1524" s="46"/>
    </row>
    <row r="1525">
      <c r="E1525" s="87"/>
      <c r="F1525" s="87"/>
      <c r="G1525" s="46"/>
    </row>
    <row r="1526">
      <c r="E1526" s="87"/>
      <c r="F1526" s="87"/>
      <c r="G1526" s="46"/>
    </row>
    <row r="1527">
      <c r="E1527" s="87"/>
      <c r="F1527" s="87"/>
      <c r="G1527" s="46"/>
    </row>
    <row r="1528">
      <c r="E1528" s="87"/>
      <c r="F1528" s="87"/>
      <c r="G1528" s="46"/>
    </row>
    <row r="1529">
      <c r="E1529" s="87"/>
      <c r="F1529" s="87"/>
      <c r="G1529" s="46"/>
    </row>
    <row r="1530">
      <c r="E1530" s="87"/>
      <c r="F1530" s="87"/>
      <c r="G1530" s="46"/>
    </row>
    <row r="1531">
      <c r="E1531" s="87"/>
      <c r="F1531" s="87"/>
      <c r="G1531" s="46"/>
    </row>
    <row r="1532">
      <c r="E1532" s="87"/>
      <c r="F1532" s="87"/>
      <c r="G1532" s="46"/>
    </row>
    <row r="1533">
      <c r="E1533" s="87"/>
      <c r="F1533" s="87"/>
      <c r="G1533" s="46"/>
    </row>
    <row r="1534">
      <c r="E1534" s="87"/>
      <c r="F1534" s="87"/>
      <c r="G1534" s="46"/>
    </row>
    <row r="1535">
      <c r="E1535" s="87"/>
      <c r="F1535" s="87"/>
      <c r="G1535" s="46"/>
    </row>
    <row r="1536">
      <c r="E1536" s="87"/>
      <c r="F1536" s="87"/>
      <c r="G1536" s="46"/>
    </row>
    <row r="1537">
      <c r="E1537" s="87"/>
      <c r="F1537" s="87"/>
      <c r="G1537" s="46"/>
    </row>
    <row r="1538">
      <c r="E1538" s="87"/>
      <c r="F1538" s="87"/>
      <c r="G1538" s="46"/>
    </row>
    <row r="1539">
      <c r="E1539" s="87"/>
      <c r="F1539" s="87"/>
      <c r="G1539" s="46"/>
    </row>
    <row r="1540">
      <c r="E1540" s="87"/>
      <c r="F1540" s="87"/>
      <c r="G1540" s="46"/>
    </row>
    <row r="1541">
      <c r="E1541" s="87"/>
      <c r="F1541" s="87"/>
      <c r="G1541" s="46"/>
    </row>
    <row r="1542">
      <c r="E1542" s="87"/>
      <c r="F1542" s="87"/>
      <c r="G1542" s="46"/>
    </row>
    <row r="1543">
      <c r="E1543" s="87"/>
      <c r="F1543" s="87"/>
      <c r="G1543" s="46"/>
    </row>
    <row r="1544">
      <c r="E1544" s="87"/>
      <c r="F1544" s="87"/>
      <c r="G1544" s="46"/>
    </row>
    <row r="1545">
      <c r="E1545" s="87"/>
      <c r="F1545" s="87"/>
      <c r="G1545" s="46"/>
    </row>
    <row r="1546">
      <c r="E1546" s="87"/>
      <c r="F1546" s="87"/>
      <c r="G1546" s="46"/>
    </row>
    <row r="1547">
      <c r="E1547" s="87"/>
      <c r="F1547" s="87"/>
      <c r="G1547" s="46"/>
    </row>
    <row r="1548">
      <c r="E1548" s="87"/>
      <c r="F1548" s="87"/>
      <c r="G1548" s="46"/>
    </row>
    <row r="1549">
      <c r="E1549" s="87"/>
      <c r="F1549" s="87"/>
      <c r="G1549" s="46"/>
    </row>
    <row r="1550">
      <c r="E1550" s="87"/>
      <c r="F1550" s="87"/>
      <c r="G1550" s="46"/>
    </row>
    <row r="1551">
      <c r="E1551" s="87"/>
      <c r="F1551" s="87"/>
      <c r="G1551" s="46"/>
    </row>
    <row r="1552">
      <c r="E1552" s="87"/>
      <c r="F1552" s="87"/>
      <c r="G1552" s="46"/>
    </row>
    <row r="1553">
      <c r="E1553" s="87"/>
      <c r="F1553" s="87"/>
      <c r="G1553" s="46"/>
    </row>
    <row r="1554">
      <c r="E1554" s="87"/>
      <c r="F1554" s="87"/>
      <c r="G1554" s="46"/>
    </row>
    <row r="1555">
      <c r="E1555" s="87"/>
      <c r="F1555" s="87"/>
      <c r="G1555" s="46"/>
    </row>
    <row r="1556">
      <c r="E1556" s="87"/>
      <c r="F1556" s="87"/>
      <c r="G1556" s="46"/>
    </row>
    <row r="1557">
      <c r="E1557" s="87"/>
      <c r="F1557" s="87"/>
      <c r="G1557" s="46"/>
    </row>
    <row r="1558">
      <c r="E1558" s="87"/>
      <c r="F1558" s="87"/>
      <c r="G1558" s="46"/>
    </row>
    <row r="1559">
      <c r="E1559" s="87"/>
      <c r="F1559" s="87"/>
      <c r="G1559" s="46"/>
    </row>
    <row r="1560">
      <c r="E1560" s="87"/>
      <c r="F1560" s="87"/>
      <c r="G1560" s="46"/>
    </row>
    <row r="1561">
      <c r="E1561" s="87"/>
      <c r="F1561" s="87"/>
      <c r="G1561" s="46"/>
    </row>
    <row r="1562">
      <c r="E1562" s="87"/>
      <c r="F1562" s="87"/>
      <c r="G1562" s="46"/>
    </row>
    <row r="1563">
      <c r="E1563" s="87"/>
      <c r="F1563" s="87"/>
      <c r="G1563" s="46"/>
    </row>
    <row r="1564">
      <c r="E1564" s="87"/>
      <c r="F1564" s="87"/>
      <c r="G1564" s="46"/>
    </row>
    <row r="1565">
      <c r="E1565" s="87"/>
      <c r="F1565" s="87"/>
      <c r="G1565" s="46"/>
    </row>
    <row r="1566">
      <c r="E1566" s="87"/>
      <c r="F1566" s="87"/>
      <c r="G1566" s="46"/>
    </row>
    <row r="1567">
      <c r="E1567" s="87"/>
      <c r="F1567" s="87"/>
      <c r="G1567" s="46"/>
    </row>
    <row r="1568">
      <c r="E1568" s="87"/>
      <c r="F1568" s="87"/>
      <c r="G1568" s="46"/>
    </row>
    <row r="1569">
      <c r="E1569" s="87"/>
      <c r="F1569" s="87"/>
      <c r="G1569" s="46"/>
    </row>
    <row r="1570">
      <c r="E1570" s="87"/>
      <c r="F1570" s="87"/>
      <c r="G1570" s="46"/>
    </row>
    <row r="1571">
      <c r="E1571" s="87"/>
      <c r="F1571" s="87"/>
      <c r="G1571" s="46"/>
    </row>
    <row r="1572">
      <c r="E1572" s="87"/>
      <c r="F1572" s="87"/>
      <c r="G1572" s="46"/>
    </row>
    <row r="1573">
      <c r="E1573" s="87"/>
      <c r="F1573" s="87"/>
      <c r="G1573" s="46"/>
    </row>
    <row r="1574">
      <c r="E1574" s="87"/>
      <c r="F1574" s="87"/>
      <c r="G1574" s="46"/>
    </row>
    <row r="1575">
      <c r="E1575" s="87"/>
      <c r="F1575" s="87"/>
      <c r="G1575" s="46"/>
    </row>
    <row r="1576">
      <c r="E1576" s="87"/>
      <c r="F1576" s="87"/>
      <c r="G1576" s="46"/>
    </row>
    <row r="1577">
      <c r="E1577" s="87"/>
      <c r="F1577" s="87"/>
      <c r="G1577" s="46"/>
    </row>
    <row r="1578">
      <c r="E1578" s="87"/>
      <c r="F1578" s="87"/>
      <c r="G1578" s="46"/>
    </row>
    <row r="1579">
      <c r="E1579" s="87"/>
      <c r="F1579" s="87"/>
      <c r="G1579" s="46"/>
    </row>
    <row r="1580">
      <c r="E1580" s="87"/>
      <c r="F1580" s="87"/>
      <c r="G1580" s="46"/>
    </row>
    <row r="1581">
      <c r="E1581" s="87"/>
      <c r="F1581" s="87"/>
      <c r="G1581" s="46"/>
    </row>
    <row r="1582">
      <c r="E1582" s="87"/>
      <c r="F1582" s="87"/>
      <c r="G1582" s="46"/>
    </row>
    <row r="1583">
      <c r="E1583" s="87"/>
      <c r="F1583" s="87"/>
      <c r="G1583" s="46"/>
    </row>
    <row r="1584">
      <c r="E1584" s="87"/>
      <c r="F1584" s="87"/>
      <c r="G1584" s="46"/>
    </row>
    <row r="1585">
      <c r="E1585" s="87"/>
      <c r="F1585" s="87"/>
      <c r="G1585" s="46"/>
    </row>
    <row r="1586">
      <c r="E1586" s="87"/>
      <c r="F1586" s="87"/>
      <c r="G1586" s="46"/>
    </row>
    <row r="1587">
      <c r="E1587" s="87"/>
      <c r="F1587" s="87"/>
      <c r="G1587" s="46"/>
    </row>
    <row r="1588">
      <c r="E1588" s="87"/>
      <c r="F1588" s="87"/>
      <c r="G1588" s="46"/>
    </row>
    <row r="1589">
      <c r="E1589" s="87"/>
      <c r="F1589" s="87"/>
      <c r="G1589" s="46"/>
    </row>
    <row r="1590">
      <c r="E1590" s="87"/>
      <c r="F1590" s="87"/>
      <c r="G1590" s="46"/>
    </row>
    <row r="1591">
      <c r="E1591" s="87"/>
      <c r="F1591" s="87"/>
      <c r="G1591" s="46"/>
    </row>
    <row r="1592">
      <c r="E1592" s="87"/>
      <c r="F1592" s="87"/>
      <c r="G1592" s="46"/>
    </row>
    <row r="1593">
      <c r="E1593" s="87"/>
      <c r="F1593" s="87"/>
      <c r="G1593" s="46"/>
    </row>
    <row r="1594">
      <c r="E1594" s="87"/>
      <c r="F1594" s="87"/>
      <c r="G1594" s="46"/>
    </row>
    <row r="1595">
      <c r="E1595" s="87"/>
      <c r="F1595" s="87"/>
      <c r="G1595" s="46"/>
    </row>
    <row r="1596">
      <c r="E1596" s="87"/>
      <c r="F1596" s="87"/>
      <c r="G1596" s="46"/>
    </row>
    <row r="1597">
      <c r="E1597" s="87"/>
      <c r="F1597" s="87"/>
      <c r="G1597" s="46"/>
    </row>
    <row r="1598">
      <c r="E1598" s="87"/>
      <c r="F1598" s="87"/>
      <c r="G1598" s="46"/>
    </row>
    <row r="1599">
      <c r="E1599" s="87"/>
      <c r="F1599" s="87"/>
      <c r="G1599" s="46"/>
    </row>
    <row r="1600">
      <c r="E1600" s="87"/>
      <c r="F1600" s="87"/>
      <c r="G1600" s="46"/>
    </row>
    <row r="1601">
      <c r="E1601" s="87"/>
      <c r="F1601" s="87"/>
      <c r="G1601" s="46"/>
    </row>
    <row r="1602">
      <c r="E1602" s="87"/>
      <c r="F1602" s="87"/>
      <c r="G1602" s="46"/>
    </row>
    <row r="1603">
      <c r="E1603" s="87"/>
      <c r="F1603" s="87"/>
      <c r="G1603" s="46"/>
    </row>
    <row r="1604">
      <c r="E1604" s="87"/>
      <c r="F1604" s="87"/>
      <c r="G1604" s="46"/>
    </row>
    <row r="1605">
      <c r="E1605" s="87"/>
      <c r="F1605" s="87"/>
      <c r="G1605" s="46"/>
    </row>
    <row r="1606">
      <c r="E1606" s="87"/>
      <c r="F1606" s="87"/>
      <c r="G1606" s="46"/>
    </row>
    <row r="1607">
      <c r="E1607" s="87"/>
      <c r="F1607" s="87"/>
      <c r="G1607" s="46"/>
    </row>
    <row r="1608">
      <c r="E1608" s="87"/>
      <c r="F1608" s="87"/>
      <c r="G1608" s="46"/>
    </row>
    <row r="1609">
      <c r="E1609" s="87"/>
      <c r="F1609" s="87"/>
      <c r="G1609" s="46"/>
    </row>
    <row r="1610">
      <c r="E1610" s="87"/>
      <c r="F1610" s="87"/>
      <c r="G1610" s="46"/>
    </row>
    <row r="1611">
      <c r="E1611" s="87"/>
      <c r="F1611" s="87"/>
      <c r="G1611" s="46"/>
    </row>
    <row r="1612">
      <c r="E1612" s="87"/>
      <c r="F1612" s="87"/>
      <c r="G1612" s="46"/>
    </row>
    <row r="1613">
      <c r="E1613" s="87"/>
      <c r="F1613" s="87"/>
      <c r="G1613" s="46"/>
    </row>
    <row r="1614">
      <c r="E1614" s="87"/>
      <c r="F1614" s="87"/>
      <c r="G1614" s="46"/>
    </row>
    <row r="1615">
      <c r="E1615" s="87"/>
      <c r="F1615" s="87"/>
      <c r="G1615" s="46"/>
    </row>
    <row r="1616">
      <c r="E1616" s="87"/>
      <c r="F1616" s="87"/>
      <c r="G1616" s="46"/>
    </row>
    <row r="1617">
      <c r="E1617" s="87"/>
      <c r="F1617" s="87"/>
      <c r="G1617" s="46"/>
    </row>
    <row r="1618">
      <c r="E1618" s="87"/>
      <c r="F1618" s="87"/>
      <c r="G1618" s="46"/>
    </row>
    <row r="1619">
      <c r="E1619" s="87"/>
      <c r="F1619" s="87"/>
      <c r="G1619" s="46"/>
    </row>
    <row r="1620">
      <c r="E1620" s="87"/>
      <c r="F1620" s="87"/>
      <c r="G1620" s="46"/>
    </row>
    <row r="1621">
      <c r="E1621" s="87"/>
      <c r="F1621" s="87"/>
      <c r="G1621" s="46"/>
    </row>
    <row r="1622">
      <c r="E1622" s="87"/>
      <c r="F1622" s="87"/>
      <c r="G1622" s="46"/>
    </row>
    <row r="1623">
      <c r="E1623" s="87"/>
      <c r="F1623" s="87"/>
      <c r="G1623" s="46"/>
    </row>
    <row r="1624">
      <c r="E1624" s="87"/>
      <c r="F1624" s="87"/>
      <c r="G1624" s="46"/>
    </row>
    <row r="1625">
      <c r="E1625" s="87"/>
      <c r="F1625" s="87"/>
      <c r="G1625" s="46"/>
    </row>
    <row r="1626">
      <c r="E1626" s="87"/>
      <c r="F1626" s="87"/>
      <c r="G1626" s="46"/>
    </row>
    <row r="1627">
      <c r="E1627" s="87"/>
      <c r="F1627" s="87"/>
      <c r="G1627" s="46"/>
    </row>
    <row r="1628">
      <c r="E1628" s="87"/>
      <c r="F1628" s="87"/>
      <c r="G1628" s="46"/>
    </row>
    <row r="1629">
      <c r="E1629" s="87"/>
      <c r="F1629" s="87"/>
      <c r="G1629" s="46"/>
    </row>
    <row r="1630">
      <c r="E1630" s="87"/>
      <c r="F1630" s="87"/>
      <c r="G1630" s="46"/>
    </row>
    <row r="1631">
      <c r="E1631" s="87"/>
      <c r="F1631" s="87"/>
      <c r="G1631" s="46"/>
    </row>
    <row r="1632">
      <c r="E1632" s="87"/>
      <c r="F1632" s="87"/>
      <c r="G1632" s="46"/>
    </row>
    <row r="1633">
      <c r="E1633" s="87"/>
      <c r="F1633" s="87"/>
      <c r="G1633" s="46"/>
    </row>
    <row r="1634">
      <c r="E1634" s="87"/>
      <c r="F1634" s="87"/>
      <c r="G1634" s="46"/>
    </row>
    <row r="1635">
      <c r="E1635" s="87"/>
      <c r="F1635" s="87"/>
      <c r="G1635" s="46"/>
    </row>
    <row r="1636">
      <c r="E1636" s="87"/>
      <c r="F1636" s="87"/>
      <c r="G1636" s="46"/>
    </row>
    <row r="1637">
      <c r="E1637" s="87"/>
      <c r="F1637" s="87"/>
      <c r="G1637" s="46"/>
    </row>
    <row r="1638">
      <c r="E1638" s="87"/>
      <c r="F1638" s="87"/>
      <c r="G1638" s="46"/>
    </row>
    <row r="1639">
      <c r="E1639" s="87"/>
      <c r="F1639" s="87"/>
      <c r="G1639" s="46"/>
    </row>
    <row r="1640">
      <c r="E1640" s="87"/>
      <c r="F1640" s="87"/>
      <c r="G1640" s="46"/>
    </row>
    <row r="1641">
      <c r="E1641" s="87"/>
      <c r="F1641" s="87"/>
      <c r="G1641" s="46"/>
    </row>
    <row r="1642">
      <c r="E1642" s="87"/>
      <c r="F1642" s="87"/>
      <c r="G1642" s="46"/>
    </row>
    <row r="1643">
      <c r="E1643" s="87"/>
      <c r="F1643" s="87"/>
      <c r="G1643" s="46"/>
    </row>
    <row r="1644">
      <c r="E1644" s="87"/>
      <c r="F1644" s="87"/>
      <c r="G1644" s="46"/>
    </row>
    <row r="1645">
      <c r="E1645" s="87"/>
      <c r="F1645" s="87"/>
      <c r="G1645" s="46"/>
    </row>
    <row r="1646">
      <c r="E1646" s="87"/>
      <c r="F1646" s="87"/>
      <c r="G1646" s="46"/>
    </row>
    <row r="1647">
      <c r="E1647" s="87"/>
      <c r="F1647" s="87"/>
      <c r="G1647" s="46"/>
    </row>
    <row r="1648">
      <c r="E1648" s="87"/>
      <c r="F1648" s="87"/>
      <c r="G1648" s="46"/>
    </row>
    <row r="1649">
      <c r="E1649" s="87"/>
      <c r="F1649" s="87"/>
      <c r="G1649" s="46"/>
    </row>
    <row r="1650">
      <c r="E1650" s="87"/>
      <c r="F1650" s="87"/>
      <c r="G1650" s="46"/>
    </row>
    <row r="1651">
      <c r="E1651" s="87"/>
      <c r="F1651" s="87"/>
      <c r="G1651" s="46"/>
    </row>
    <row r="1652">
      <c r="E1652" s="87"/>
      <c r="F1652" s="87"/>
      <c r="G1652" s="46"/>
    </row>
    <row r="1653">
      <c r="E1653" s="87"/>
      <c r="F1653" s="87"/>
      <c r="G1653" s="46"/>
    </row>
    <row r="1654">
      <c r="E1654" s="87"/>
      <c r="F1654" s="87"/>
      <c r="G1654" s="46"/>
    </row>
    <row r="1655">
      <c r="E1655" s="87"/>
      <c r="F1655" s="87"/>
      <c r="G1655" s="46"/>
    </row>
    <row r="1656">
      <c r="E1656" s="87"/>
      <c r="F1656" s="87"/>
      <c r="G1656" s="46"/>
    </row>
    <row r="1657">
      <c r="E1657" s="87"/>
      <c r="F1657" s="87"/>
      <c r="G1657" s="46"/>
    </row>
    <row r="1658">
      <c r="E1658" s="87"/>
      <c r="F1658" s="87"/>
      <c r="G1658" s="46"/>
    </row>
    <row r="1659">
      <c r="E1659" s="87"/>
      <c r="F1659" s="87"/>
      <c r="G1659" s="46"/>
    </row>
    <row r="1660">
      <c r="E1660" s="87"/>
      <c r="F1660" s="87"/>
      <c r="G1660" s="46"/>
    </row>
    <row r="1661">
      <c r="E1661" s="87"/>
      <c r="F1661" s="87"/>
      <c r="G1661" s="46"/>
    </row>
    <row r="1662">
      <c r="E1662" s="87"/>
      <c r="F1662" s="87"/>
      <c r="G1662" s="46"/>
    </row>
    <row r="1663">
      <c r="E1663" s="87"/>
      <c r="F1663" s="87"/>
      <c r="G1663" s="46"/>
    </row>
    <row r="1664">
      <c r="E1664" s="87"/>
      <c r="F1664" s="87"/>
      <c r="G1664" s="46"/>
    </row>
    <row r="1665">
      <c r="E1665" s="87"/>
      <c r="F1665" s="87"/>
      <c r="G1665" s="46"/>
    </row>
    <row r="1666">
      <c r="E1666" s="87"/>
      <c r="F1666" s="87"/>
      <c r="G1666" s="46"/>
    </row>
    <row r="1667">
      <c r="E1667" s="87"/>
      <c r="F1667" s="87"/>
      <c r="G1667" s="46"/>
    </row>
    <row r="1668">
      <c r="E1668" s="87"/>
      <c r="F1668" s="87"/>
      <c r="G1668" s="46"/>
    </row>
    <row r="1669">
      <c r="E1669" s="87"/>
      <c r="F1669" s="87"/>
      <c r="G1669" s="46"/>
    </row>
    <row r="1670">
      <c r="E1670" s="87"/>
      <c r="F1670" s="87"/>
      <c r="G1670" s="46"/>
    </row>
    <row r="1671">
      <c r="E1671" s="87"/>
      <c r="F1671" s="87"/>
      <c r="G1671" s="46"/>
    </row>
    <row r="1672">
      <c r="E1672" s="87"/>
      <c r="F1672" s="87"/>
      <c r="G1672" s="46"/>
    </row>
    <row r="1673">
      <c r="E1673" s="87"/>
      <c r="F1673" s="87"/>
      <c r="G1673" s="46"/>
    </row>
    <row r="1674">
      <c r="E1674" s="87"/>
      <c r="F1674" s="87"/>
      <c r="G1674" s="46"/>
    </row>
    <row r="1675">
      <c r="E1675" s="87"/>
      <c r="F1675" s="87"/>
      <c r="G1675" s="46"/>
    </row>
    <row r="1676">
      <c r="E1676" s="87"/>
      <c r="F1676" s="87"/>
      <c r="G1676" s="46"/>
    </row>
    <row r="1677">
      <c r="E1677" s="87"/>
      <c r="F1677" s="87"/>
      <c r="G1677" s="46"/>
    </row>
    <row r="1678">
      <c r="E1678" s="87"/>
      <c r="F1678" s="87"/>
      <c r="G1678" s="46"/>
    </row>
    <row r="1679">
      <c r="E1679" s="87"/>
      <c r="F1679" s="87"/>
      <c r="G1679" s="46"/>
    </row>
    <row r="1680">
      <c r="E1680" s="87"/>
      <c r="F1680" s="87"/>
      <c r="G1680" s="46"/>
    </row>
    <row r="1681">
      <c r="E1681" s="87"/>
      <c r="F1681" s="87"/>
      <c r="G1681" s="46"/>
    </row>
    <row r="1682">
      <c r="E1682" s="87"/>
      <c r="F1682" s="87"/>
      <c r="G1682" s="46"/>
    </row>
    <row r="1683">
      <c r="E1683" s="87"/>
      <c r="F1683" s="87"/>
      <c r="G1683" s="46"/>
    </row>
    <row r="1684">
      <c r="E1684" s="87"/>
      <c r="F1684" s="87"/>
      <c r="G1684" s="46"/>
    </row>
    <row r="1685">
      <c r="E1685" s="87"/>
      <c r="F1685" s="87"/>
      <c r="G1685" s="46"/>
    </row>
    <row r="1686">
      <c r="E1686" s="87"/>
      <c r="F1686" s="87"/>
      <c r="G1686" s="46"/>
    </row>
    <row r="1687">
      <c r="E1687" s="87"/>
      <c r="F1687" s="87"/>
      <c r="G1687" s="46"/>
    </row>
    <row r="1688">
      <c r="E1688" s="87"/>
      <c r="F1688" s="87"/>
      <c r="G1688" s="46"/>
    </row>
    <row r="1689">
      <c r="E1689" s="87"/>
      <c r="F1689" s="87"/>
      <c r="G1689" s="46"/>
    </row>
    <row r="1690">
      <c r="E1690" s="87"/>
      <c r="F1690" s="87"/>
      <c r="G1690" s="46"/>
    </row>
    <row r="1691">
      <c r="E1691" s="87"/>
      <c r="F1691" s="87"/>
      <c r="G1691" s="46"/>
    </row>
    <row r="1692">
      <c r="E1692" s="87"/>
      <c r="F1692" s="87"/>
      <c r="G1692" s="46"/>
    </row>
    <row r="1693">
      <c r="E1693" s="87"/>
      <c r="F1693" s="87"/>
      <c r="G1693" s="46"/>
    </row>
    <row r="1694">
      <c r="E1694" s="87"/>
      <c r="F1694" s="87"/>
      <c r="G1694" s="46"/>
    </row>
    <row r="1695">
      <c r="E1695" s="87"/>
      <c r="F1695" s="87"/>
      <c r="G1695" s="46"/>
    </row>
    <row r="1696">
      <c r="E1696" s="87"/>
      <c r="F1696" s="87"/>
      <c r="G1696" s="46"/>
    </row>
    <row r="1697">
      <c r="E1697" s="87"/>
      <c r="F1697" s="87"/>
      <c r="G1697" s="46"/>
    </row>
    <row r="1698">
      <c r="E1698" s="87"/>
      <c r="F1698" s="87"/>
      <c r="G1698" s="46"/>
    </row>
    <row r="1699">
      <c r="E1699" s="87"/>
      <c r="F1699" s="87"/>
      <c r="G1699" s="46"/>
    </row>
    <row r="1700">
      <c r="E1700" s="87"/>
      <c r="F1700" s="87"/>
      <c r="G1700" s="46"/>
    </row>
    <row r="1701">
      <c r="E1701" s="87"/>
      <c r="F1701" s="87"/>
      <c r="G1701" s="46"/>
    </row>
  </sheetData>
  <dataValidations>
    <dataValidation type="list" allowBlank="1" showErrorMessage="1" sqref="C2:C732">
      <formula1>SERVICIOS!$B$2:$B$7</formula1>
    </dataValidation>
    <dataValidation type="list" allowBlank="1" showErrorMessage="1" sqref="D2:D732">
      <formula1>concepto_salarios</formula1>
    </dataValidation>
    <dataValidation type="custom" allowBlank="1" showDropDown="1" sqref="A2:A732">
      <formula1>OR(NOT(ISERROR(DATEVALUE(A2))), AND(ISNUMBER(A2), LEFT(CELL("format", A2))="D"))</formula1>
    </dataValidation>
    <dataValidation type="custom" allowBlank="1" showDropDown="1" sqref="F2:F732">
      <formula1>AND(ISNUMBER(F2),(NOT(OR(NOT(ISERROR(DATEVALUE(F2))), AND(ISNUMBER(F2), LEFT(CELL("format", F2))="D")))))</formula1>
    </dataValidation>
    <dataValidation type="list" allowBlank="1" showErrorMessage="1" sqref="B2:B732">
      <formula1>TRABAJADORES!$A$2:$A$12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22.38"/>
    <col customWidth="1" min="3" max="3" width="14.63"/>
    <col customWidth="1" min="4" max="4" width="13.63"/>
    <col customWidth="1" min="7" max="7" width="23.88"/>
  </cols>
  <sheetData>
    <row r="1" ht="22.5" customHeight="1">
      <c r="A1" s="63" t="s">
        <v>132</v>
      </c>
      <c r="B1" s="62" t="s">
        <v>91</v>
      </c>
      <c r="C1" s="65" t="s">
        <v>138</v>
      </c>
      <c r="D1" s="62" t="s">
        <v>97</v>
      </c>
      <c r="E1" s="66" t="s">
        <v>7</v>
      </c>
      <c r="F1" s="66" t="s">
        <v>139</v>
      </c>
      <c r="G1" s="66" t="s">
        <v>260</v>
      </c>
    </row>
    <row r="2" ht="22.5" customHeight="1">
      <c r="A2" s="69">
        <v>45955.0</v>
      </c>
      <c r="B2" s="68" t="s">
        <v>261</v>
      </c>
      <c r="C2" s="74">
        <v>200.0</v>
      </c>
      <c r="D2" s="70" t="s">
        <v>46</v>
      </c>
      <c r="E2" s="101" t="str">
        <f t="shared" ref="E2:E174" si="1">IF(A2="","",TEXT(A2,"mmmm"))</f>
        <v>octubre</v>
      </c>
      <c r="F2" s="101">
        <f t="shared" ref="F2:F174" si="2">IF(A2="","",YEAR(A2))</f>
        <v>2025</v>
      </c>
      <c r="G2" s="97" t="s">
        <v>57</v>
      </c>
    </row>
    <row r="3" ht="22.5" customHeight="1">
      <c r="A3" s="69">
        <v>45955.0</v>
      </c>
      <c r="B3" s="68" t="s">
        <v>262</v>
      </c>
      <c r="C3" s="74">
        <v>169.0</v>
      </c>
      <c r="D3" s="70" t="s">
        <v>46</v>
      </c>
      <c r="E3" s="101" t="str">
        <f t="shared" si="1"/>
        <v>octubre</v>
      </c>
      <c r="F3" s="101">
        <f t="shared" si="2"/>
        <v>2025</v>
      </c>
      <c r="G3" s="97" t="s">
        <v>88</v>
      </c>
    </row>
    <row r="4" ht="22.5" customHeight="1">
      <c r="A4" s="69">
        <v>45955.0</v>
      </c>
      <c r="B4" s="68" t="s">
        <v>263</v>
      </c>
      <c r="C4" s="74">
        <v>637.0</v>
      </c>
      <c r="D4" s="70" t="s">
        <v>46</v>
      </c>
      <c r="E4" s="101" t="str">
        <f t="shared" si="1"/>
        <v>octubre</v>
      </c>
      <c r="F4" s="101">
        <f t="shared" si="2"/>
        <v>2025</v>
      </c>
      <c r="G4" s="97" t="s">
        <v>42</v>
      </c>
    </row>
    <row r="5" ht="22.5" customHeight="1">
      <c r="A5" s="69">
        <v>45955.0</v>
      </c>
      <c r="B5" s="68" t="s">
        <v>264</v>
      </c>
      <c r="C5" s="74">
        <v>150.0</v>
      </c>
      <c r="D5" s="70" t="s">
        <v>46</v>
      </c>
      <c r="E5" s="101" t="str">
        <f t="shared" si="1"/>
        <v>octubre</v>
      </c>
      <c r="F5" s="101">
        <f t="shared" si="2"/>
        <v>2025</v>
      </c>
      <c r="G5" s="97" t="s">
        <v>47</v>
      </c>
    </row>
    <row r="6" ht="22.5" customHeight="1">
      <c r="A6" s="69">
        <v>45955.0</v>
      </c>
      <c r="B6" s="68" t="s">
        <v>264</v>
      </c>
      <c r="C6" s="74">
        <v>282.0</v>
      </c>
      <c r="D6" s="70" t="s">
        <v>46</v>
      </c>
      <c r="E6" s="101" t="str">
        <f t="shared" si="1"/>
        <v>octubre</v>
      </c>
      <c r="F6" s="101">
        <f t="shared" si="2"/>
        <v>2025</v>
      </c>
      <c r="G6" s="97" t="s">
        <v>47</v>
      </c>
    </row>
    <row r="7" ht="22.5" customHeight="1">
      <c r="A7" s="69">
        <v>45955.0</v>
      </c>
      <c r="B7" s="68" t="s">
        <v>265</v>
      </c>
      <c r="C7" s="74">
        <v>729.0</v>
      </c>
      <c r="D7" s="70" t="s">
        <v>46</v>
      </c>
      <c r="E7" s="101" t="str">
        <f t="shared" si="1"/>
        <v>octubre</v>
      </c>
      <c r="F7" s="101">
        <f t="shared" si="2"/>
        <v>2025</v>
      </c>
      <c r="G7" s="97" t="s">
        <v>42</v>
      </c>
    </row>
    <row r="8" ht="22.5" customHeight="1">
      <c r="A8" s="69">
        <v>45955.0</v>
      </c>
      <c r="B8" s="68" t="s">
        <v>266</v>
      </c>
      <c r="C8" s="74">
        <v>500.0</v>
      </c>
      <c r="D8" s="70" t="s">
        <v>46</v>
      </c>
      <c r="E8" s="101" t="str">
        <f t="shared" si="1"/>
        <v>octubre</v>
      </c>
      <c r="F8" s="101">
        <f t="shared" si="2"/>
        <v>2025</v>
      </c>
      <c r="G8" s="97" t="s">
        <v>57</v>
      </c>
    </row>
    <row r="9" ht="22.5" customHeight="1">
      <c r="A9" s="69">
        <v>45955.0</v>
      </c>
      <c r="B9" s="68" t="s">
        <v>267</v>
      </c>
      <c r="C9" s="74">
        <v>200.0</v>
      </c>
      <c r="D9" s="70" t="s">
        <v>46</v>
      </c>
      <c r="E9" s="101" t="str">
        <f t="shared" si="1"/>
        <v>octubre</v>
      </c>
      <c r="F9" s="101">
        <f t="shared" si="2"/>
        <v>2025</v>
      </c>
      <c r="G9" s="97" t="s">
        <v>57</v>
      </c>
    </row>
    <row r="10" ht="22.5" customHeight="1">
      <c r="A10" s="69">
        <v>45955.0</v>
      </c>
      <c r="B10" s="68" t="s">
        <v>268</v>
      </c>
      <c r="C10" s="74">
        <v>25.0</v>
      </c>
      <c r="D10" s="70" t="s">
        <v>46</v>
      </c>
      <c r="E10" s="101" t="str">
        <f t="shared" si="1"/>
        <v>octubre</v>
      </c>
      <c r="F10" s="101">
        <f t="shared" si="2"/>
        <v>2025</v>
      </c>
      <c r="G10" s="97" t="s">
        <v>47</v>
      </c>
    </row>
    <row r="11" ht="22.5" customHeight="1">
      <c r="A11" s="69">
        <v>45955.0</v>
      </c>
      <c r="B11" s="68" t="s">
        <v>269</v>
      </c>
      <c r="C11" s="74">
        <v>4100.0</v>
      </c>
      <c r="D11" s="70" t="s">
        <v>46</v>
      </c>
      <c r="E11" s="101" t="str">
        <f t="shared" si="1"/>
        <v>octubre</v>
      </c>
      <c r="F11" s="101">
        <f t="shared" si="2"/>
        <v>2025</v>
      </c>
      <c r="G11" s="97" t="s">
        <v>80</v>
      </c>
    </row>
    <row r="12" ht="22.5" customHeight="1">
      <c r="A12" s="69">
        <v>45955.0</v>
      </c>
      <c r="B12" s="68" t="s">
        <v>270</v>
      </c>
      <c r="C12" s="74">
        <v>500.0</v>
      </c>
      <c r="D12" s="70" t="s">
        <v>46</v>
      </c>
      <c r="E12" s="101" t="str">
        <f t="shared" si="1"/>
        <v>octubre</v>
      </c>
      <c r="F12" s="101">
        <f t="shared" si="2"/>
        <v>2025</v>
      </c>
      <c r="G12" s="97" t="s">
        <v>83</v>
      </c>
    </row>
    <row r="13" ht="22.5" customHeight="1">
      <c r="A13" s="69">
        <v>45955.0</v>
      </c>
      <c r="B13" s="68" t="s">
        <v>271</v>
      </c>
      <c r="C13" s="74">
        <v>500.0</v>
      </c>
      <c r="D13" s="70" t="s">
        <v>46</v>
      </c>
      <c r="E13" s="101" t="str">
        <f t="shared" si="1"/>
        <v>octubre</v>
      </c>
      <c r="F13" s="101">
        <f t="shared" si="2"/>
        <v>2025</v>
      </c>
      <c r="G13" s="97" t="s">
        <v>77</v>
      </c>
    </row>
    <row r="14" ht="22.5" customHeight="1">
      <c r="A14" s="69">
        <v>45956.0</v>
      </c>
      <c r="B14" s="68" t="s">
        <v>261</v>
      </c>
      <c r="C14" s="74">
        <v>500.0</v>
      </c>
      <c r="D14" s="70" t="s">
        <v>46</v>
      </c>
      <c r="E14" s="101" t="str">
        <f t="shared" si="1"/>
        <v>octubre</v>
      </c>
      <c r="F14" s="101">
        <f t="shared" si="2"/>
        <v>2025</v>
      </c>
      <c r="G14" s="97" t="s">
        <v>57</v>
      </c>
    </row>
    <row r="15" ht="22.5" customHeight="1">
      <c r="A15" s="69">
        <v>45956.0</v>
      </c>
      <c r="B15" s="68" t="s">
        <v>266</v>
      </c>
      <c r="C15" s="74">
        <v>500.0</v>
      </c>
      <c r="D15" s="70" t="s">
        <v>46</v>
      </c>
      <c r="E15" s="101" t="str">
        <f t="shared" si="1"/>
        <v>octubre</v>
      </c>
      <c r="F15" s="101">
        <f t="shared" si="2"/>
        <v>2025</v>
      </c>
      <c r="G15" s="97" t="s">
        <v>57</v>
      </c>
    </row>
    <row r="16" ht="22.5" customHeight="1">
      <c r="A16" s="69">
        <v>45956.0</v>
      </c>
      <c r="B16" s="68" t="s">
        <v>272</v>
      </c>
      <c r="C16" s="74">
        <v>150.0</v>
      </c>
      <c r="D16" s="70" t="s">
        <v>51</v>
      </c>
      <c r="E16" s="101" t="str">
        <f t="shared" si="1"/>
        <v>octubre</v>
      </c>
      <c r="F16" s="101">
        <f t="shared" si="2"/>
        <v>2025</v>
      </c>
      <c r="G16" s="97" t="s">
        <v>85</v>
      </c>
    </row>
    <row r="17" ht="22.5" customHeight="1">
      <c r="A17" s="69">
        <v>45961.0</v>
      </c>
      <c r="B17" s="68" t="s">
        <v>273</v>
      </c>
      <c r="C17" s="74">
        <v>145.0</v>
      </c>
      <c r="D17" s="70" t="s">
        <v>51</v>
      </c>
      <c r="E17" s="101" t="str">
        <f t="shared" si="1"/>
        <v>octubre</v>
      </c>
      <c r="F17" s="101">
        <f t="shared" si="2"/>
        <v>2025</v>
      </c>
      <c r="G17" s="97" t="s">
        <v>42</v>
      </c>
    </row>
    <row r="18" ht="22.5" customHeight="1">
      <c r="A18" s="69">
        <v>45962.0</v>
      </c>
      <c r="B18" s="68" t="s">
        <v>274</v>
      </c>
      <c r="C18" s="74">
        <v>500.0</v>
      </c>
      <c r="D18" s="70" t="s">
        <v>46</v>
      </c>
      <c r="E18" s="101" t="str">
        <f t="shared" si="1"/>
        <v>noviembre</v>
      </c>
      <c r="F18" s="101">
        <f t="shared" si="2"/>
        <v>2025</v>
      </c>
      <c r="G18" s="97" t="s">
        <v>57</v>
      </c>
    </row>
    <row r="19" ht="22.5" customHeight="1">
      <c r="A19" s="69">
        <v>45962.0</v>
      </c>
      <c r="B19" s="68" t="s">
        <v>275</v>
      </c>
      <c r="C19" s="74">
        <v>45.0</v>
      </c>
      <c r="D19" s="70" t="s">
        <v>51</v>
      </c>
      <c r="E19" s="101" t="str">
        <f t="shared" si="1"/>
        <v>noviembre</v>
      </c>
      <c r="F19" s="101">
        <f t="shared" si="2"/>
        <v>2025</v>
      </c>
      <c r="G19" s="97" t="s">
        <v>47</v>
      </c>
    </row>
    <row r="20" ht="22.5" customHeight="1">
      <c r="A20" s="69">
        <v>45962.0</v>
      </c>
      <c r="B20" s="68" t="s">
        <v>276</v>
      </c>
      <c r="C20" s="74">
        <v>100.0</v>
      </c>
      <c r="D20" s="70" t="s">
        <v>56</v>
      </c>
      <c r="E20" s="101" t="str">
        <f t="shared" si="1"/>
        <v>noviembre</v>
      </c>
      <c r="F20" s="101">
        <f t="shared" si="2"/>
        <v>2025</v>
      </c>
      <c r="G20" s="97" t="s">
        <v>57</v>
      </c>
    </row>
    <row r="21" ht="22.5" customHeight="1">
      <c r="A21" s="69">
        <v>45969.0</v>
      </c>
      <c r="B21" s="68" t="s">
        <v>277</v>
      </c>
      <c r="C21" s="74">
        <v>300.0</v>
      </c>
      <c r="D21" s="70" t="s">
        <v>46</v>
      </c>
      <c r="E21" s="101" t="str">
        <f t="shared" si="1"/>
        <v>noviembre</v>
      </c>
      <c r="F21" s="101">
        <f t="shared" si="2"/>
        <v>2025</v>
      </c>
      <c r="G21" s="97" t="s">
        <v>57</v>
      </c>
    </row>
    <row r="22" ht="22.5" customHeight="1">
      <c r="A22" s="69">
        <v>45969.0</v>
      </c>
      <c r="B22" s="68" t="s">
        <v>278</v>
      </c>
      <c r="C22" s="74">
        <v>120.0</v>
      </c>
      <c r="D22" s="70" t="s">
        <v>46</v>
      </c>
      <c r="E22" s="101" t="str">
        <f t="shared" si="1"/>
        <v>noviembre</v>
      </c>
      <c r="F22" s="101">
        <f t="shared" si="2"/>
        <v>2025</v>
      </c>
      <c r="G22" s="97" t="s">
        <v>84</v>
      </c>
    </row>
    <row r="23" ht="22.5" customHeight="1">
      <c r="A23" s="69">
        <v>45969.0</v>
      </c>
      <c r="B23" s="68" t="s">
        <v>274</v>
      </c>
      <c r="C23" s="74">
        <v>500.0</v>
      </c>
      <c r="D23" s="70" t="s">
        <v>46</v>
      </c>
      <c r="E23" s="101" t="str">
        <f t="shared" si="1"/>
        <v>noviembre</v>
      </c>
      <c r="F23" s="101">
        <f t="shared" si="2"/>
        <v>2025</v>
      </c>
      <c r="G23" s="97" t="s">
        <v>57</v>
      </c>
    </row>
    <row r="24" ht="22.5" customHeight="1">
      <c r="A24" s="69">
        <v>45969.0</v>
      </c>
      <c r="B24" s="68" t="s">
        <v>279</v>
      </c>
      <c r="C24" s="74">
        <v>210.0</v>
      </c>
      <c r="D24" s="70" t="s">
        <v>46</v>
      </c>
      <c r="E24" s="101" t="str">
        <f t="shared" si="1"/>
        <v>noviembre</v>
      </c>
      <c r="F24" s="101">
        <f t="shared" si="2"/>
        <v>2025</v>
      </c>
      <c r="G24" s="97" t="s">
        <v>47</v>
      </c>
    </row>
    <row r="25" ht="22.5" customHeight="1">
      <c r="A25" s="69">
        <v>45969.0</v>
      </c>
      <c r="B25" s="68" t="s">
        <v>280</v>
      </c>
      <c r="C25" s="74">
        <v>199.0</v>
      </c>
      <c r="D25" s="70" t="s">
        <v>46</v>
      </c>
      <c r="E25" s="101" t="str">
        <f t="shared" si="1"/>
        <v>noviembre</v>
      </c>
      <c r="F25" s="101">
        <f t="shared" si="2"/>
        <v>2025</v>
      </c>
      <c r="G25" s="97" t="s">
        <v>42</v>
      </c>
    </row>
    <row r="26" ht="22.5" customHeight="1">
      <c r="A26" s="69">
        <v>45969.0</v>
      </c>
      <c r="B26" s="68" t="s">
        <v>281</v>
      </c>
      <c r="C26" s="74">
        <v>1600.0</v>
      </c>
      <c r="D26" s="70" t="s">
        <v>56</v>
      </c>
      <c r="E26" s="101" t="str">
        <f t="shared" si="1"/>
        <v>noviembre</v>
      </c>
      <c r="F26" s="101">
        <f t="shared" si="2"/>
        <v>2025</v>
      </c>
      <c r="G26" s="97" t="s">
        <v>77</v>
      </c>
    </row>
    <row r="27" ht="22.5" customHeight="1">
      <c r="A27" s="69">
        <v>45969.0</v>
      </c>
      <c r="B27" s="68" t="s">
        <v>282</v>
      </c>
      <c r="C27" s="74">
        <v>399.0</v>
      </c>
      <c r="D27" s="70" t="s">
        <v>56</v>
      </c>
      <c r="E27" s="101" t="str">
        <f t="shared" si="1"/>
        <v>noviembre</v>
      </c>
      <c r="F27" s="101">
        <f t="shared" si="2"/>
        <v>2025</v>
      </c>
      <c r="G27" s="97" t="s">
        <v>88</v>
      </c>
    </row>
    <row r="28" ht="22.5" customHeight="1">
      <c r="A28" s="69">
        <v>45969.0</v>
      </c>
      <c r="B28" s="68" t="s">
        <v>267</v>
      </c>
      <c r="C28" s="74">
        <v>500.0</v>
      </c>
      <c r="D28" s="70" t="s">
        <v>56</v>
      </c>
      <c r="E28" s="101" t="str">
        <f t="shared" si="1"/>
        <v>noviembre</v>
      </c>
      <c r="F28" s="101">
        <f t="shared" si="2"/>
        <v>2025</v>
      </c>
      <c r="G28" s="97" t="s">
        <v>57</v>
      </c>
    </row>
    <row r="29" ht="22.5" customHeight="1">
      <c r="A29" s="69">
        <v>45969.0</v>
      </c>
      <c r="B29" s="68" t="s">
        <v>283</v>
      </c>
      <c r="C29" s="74">
        <v>70.0</v>
      </c>
      <c r="D29" s="70" t="s">
        <v>56</v>
      </c>
      <c r="E29" s="101" t="str">
        <f t="shared" si="1"/>
        <v>noviembre</v>
      </c>
      <c r="F29" s="101">
        <f t="shared" si="2"/>
        <v>2025</v>
      </c>
      <c r="G29" s="97" t="s">
        <v>47</v>
      </c>
    </row>
    <row r="30" ht="22.5" customHeight="1">
      <c r="A30" s="69">
        <v>45969.0</v>
      </c>
      <c r="B30" s="68" t="s">
        <v>274</v>
      </c>
      <c r="C30" s="74">
        <v>200.0</v>
      </c>
      <c r="D30" s="70" t="s">
        <v>56</v>
      </c>
      <c r="E30" s="101" t="str">
        <f t="shared" si="1"/>
        <v>noviembre</v>
      </c>
      <c r="F30" s="101">
        <f t="shared" si="2"/>
        <v>2025</v>
      </c>
      <c r="G30" s="97" t="s">
        <v>57</v>
      </c>
    </row>
    <row r="31" ht="22.5" customHeight="1">
      <c r="A31" s="69">
        <v>45969.0</v>
      </c>
      <c r="B31" s="68" t="s">
        <v>284</v>
      </c>
      <c r="C31" s="74">
        <v>170.0</v>
      </c>
      <c r="D31" s="70" t="s">
        <v>56</v>
      </c>
      <c r="E31" s="101" t="str">
        <f t="shared" si="1"/>
        <v>noviembre</v>
      </c>
      <c r="F31" s="101">
        <f t="shared" si="2"/>
        <v>2025</v>
      </c>
      <c r="G31" s="97" t="s">
        <v>47</v>
      </c>
    </row>
    <row r="32" ht="22.5" customHeight="1">
      <c r="A32" s="69">
        <v>45969.0</v>
      </c>
      <c r="B32" s="68" t="s">
        <v>285</v>
      </c>
      <c r="C32" s="74">
        <v>325.0</v>
      </c>
      <c r="D32" s="70" t="s">
        <v>56</v>
      </c>
      <c r="E32" s="101" t="str">
        <f t="shared" si="1"/>
        <v>noviembre</v>
      </c>
      <c r="F32" s="101">
        <f t="shared" si="2"/>
        <v>2025</v>
      </c>
      <c r="G32" s="97" t="s">
        <v>47</v>
      </c>
    </row>
    <row r="33" ht="22.5" customHeight="1">
      <c r="A33" s="69">
        <v>45969.0</v>
      </c>
      <c r="B33" s="68" t="s">
        <v>286</v>
      </c>
      <c r="C33" s="74">
        <v>1000.0</v>
      </c>
      <c r="D33" s="70" t="s">
        <v>46</v>
      </c>
      <c r="E33" s="101" t="str">
        <f t="shared" si="1"/>
        <v>noviembre</v>
      </c>
      <c r="F33" s="101">
        <f t="shared" si="2"/>
        <v>2025</v>
      </c>
      <c r="G33" s="97" t="s">
        <v>85</v>
      </c>
    </row>
    <row r="34" ht="22.5" customHeight="1">
      <c r="A34" s="69">
        <v>45970.0</v>
      </c>
      <c r="B34" s="68" t="s">
        <v>277</v>
      </c>
      <c r="C34" s="74">
        <v>500.0</v>
      </c>
      <c r="D34" s="70" t="s">
        <v>46</v>
      </c>
      <c r="E34" s="101" t="str">
        <f t="shared" si="1"/>
        <v>noviembre</v>
      </c>
      <c r="F34" s="101">
        <f t="shared" si="2"/>
        <v>2025</v>
      </c>
      <c r="G34" s="97" t="s">
        <v>57</v>
      </c>
    </row>
    <row r="35" ht="22.5" customHeight="1">
      <c r="A35" s="69">
        <v>45970.0</v>
      </c>
      <c r="B35" s="68" t="s">
        <v>74</v>
      </c>
      <c r="C35" s="74">
        <v>667.0</v>
      </c>
      <c r="D35" s="70" t="s">
        <v>46</v>
      </c>
      <c r="E35" s="101" t="str">
        <f t="shared" si="1"/>
        <v>noviembre</v>
      </c>
      <c r="F35" s="101">
        <f t="shared" si="2"/>
        <v>2025</v>
      </c>
      <c r="G35" s="97" t="s">
        <v>74</v>
      </c>
    </row>
    <row r="36" ht="22.5" customHeight="1">
      <c r="A36" s="69">
        <v>45970.0</v>
      </c>
      <c r="B36" s="68" t="s">
        <v>287</v>
      </c>
      <c r="C36" s="74">
        <v>400.0</v>
      </c>
      <c r="D36" s="70" t="s">
        <v>46</v>
      </c>
      <c r="E36" s="101" t="str">
        <f t="shared" si="1"/>
        <v>noviembre</v>
      </c>
      <c r="F36" s="101">
        <f t="shared" si="2"/>
        <v>2025</v>
      </c>
      <c r="G36" s="97" t="s">
        <v>85</v>
      </c>
    </row>
    <row r="37" ht="22.5" customHeight="1">
      <c r="A37" s="69">
        <v>45970.0</v>
      </c>
      <c r="B37" s="68" t="s">
        <v>288</v>
      </c>
      <c r="C37" s="74">
        <v>309.0</v>
      </c>
      <c r="D37" s="70" t="s">
        <v>46</v>
      </c>
      <c r="E37" s="101" t="str">
        <f t="shared" si="1"/>
        <v>noviembre</v>
      </c>
      <c r="F37" s="101">
        <f t="shared" si="2"/>
        <v>2025</v>
      </c>
      <c r="G37" s="97" t="s">
        <v>67</v>
      </c>
    </row>
    <row r="38" ht="22.5" customHeight="1">
      <c r="A38" s="69">
        <v>45976.0</v>
      </c>
      <c r="B38" s="68" t="s">
        <v>289</v>
      </c>
      <c r="C38" s="74">
        <v>300.0</v>
      </c>
      <c r="D38" s="70" t="s">
        <v>46</v>
      </c>
      <c r="E38" s="101" t="str">
        <f t="shared" si="1"/>
        <v>noviembre</v>
      </c>
      <c r="F38" s="101">
        <f t="shared" si="2"/>
        <v>2025</v>
      </c>
      <c r="G38" s="97" t="s">
        <v>57</v>
      </c>
    </row>
    <row r="39" ht="22.5" customHeight="1">
      <c r="A39" s="69">
        <v>45976.0</v>
      </c>
      <c r="B39" s="68" t="s">
        <v>290</v>
      </c>
      <c r="C39" s="74">
        <v>288.0</v>
      </c>
      <c r="D39" s="70" t="s">
        <v>46</v>
      </c>
      <c r="E39" s="101" t="str">
        <f t="shared" si="1"/>
        <v>noviembre</v>
      </c>
      <c r="F39" s="101">
        <f t="shared" si="2"/>
        <v>2025</v>
      </c>
      <c r="G39" s="97" t="s">
        <v>42</v>
      </c>
    </row>
    <row r="40" ht="22.5" customHeight="1">
      <c r="A40" s="69">
        <v>45976.0</v>
      </c>
      <c r="B40" s="68" t="s">
        <v>277</v>
      </c>
      <c r="C40" s="74">
        <v>500.0</v>
      </c>
      <c r="D40" s="70" t="s">
        <v>46</v>
      </c>
      <c r="E40" s="101" t="str">
        <f t="shared" si="1"/>
        <v>noviembre</v>
      </c>
      <c r="F40" s="101">
        <f t="shared" si="2"/>
        <v>2025</v>
      </c>
      <c r="G40" s="97" t="s">
        <v>57</v>
      </c>
    </row>
    <row r="41" ht="22.5" customHeight="1">
      <c r="A41" s="69">
        <v>45976.0</v>
      </c>
      <c r="B41" s="68" t="s">
        <v>291</v>
      </c>
      <c r="C41" s="74">
        <v>500.0</v>
      </c>
      <c r="D41" s="70" t="s">
        <v>46</v>
      </c>
      <c r="E41" s="101" t="str">
        <f t="shared" si="1"/>
        <v>noviembre</v>
      </c>
      <c r="F41" s="101">
        <f t="shared" si="2"/>
        <v>2025</v>
      </c>
      <c r="G41" s="97" t="s">
        <v>84</v>
      </c>
    </row>
    <row r="42" ht="22.5" customHeight="1">
      <c r="A42" s="69">
        <v>45976.0</v>
      </c>
      <c r="B42" s="68" t="s">
        <v>291</v>
      </c>
      <c r="C42" s="74">
        <v>4600.0</v>
      </c>
      <c r="D42" s="70" t="s">
        <v>56</v>
      </c>
      <c r="E42" s="101" t="str">
        <f t="shared" si="1"/>
        <v>noviembre</v>
      </c>
      <c r="F42" s="101">
        <f t="shared" si="2"/>
        <v>2025</v>
      </c>
      <c r="G42" s="97" t="s">
        <v>84</v>
      </c>
    </row>
    <row r="43" ht="22.5" customHeight="1">
      <c r="A43" s="69">
        <v>45976.0</v>
      </c>
      <c r="B43" s="68" t="s">
        <v>285</v>
      </c>
      <c r="C43" s="74">
        <v>100.0</v>
      </c>
      <c r="D43" s="70" t="s">
        <v>56</v>
      </c>
      <c r="E43" s="101" t="str">
        <f t="shared" si="1"/>
        <v>noviembre</v>
      </c>
      <c r="F43" s="101">
        <f t="shared" si="2"/>
        <v>2025</v>
      </c>
      <c r="G43" s="97" t="s">
        <v>47</v>
      </c>
    </row>
    <row r="44" ht="22.5" customHeight="1">
      <c r="A44" s="69">
        <v>45976.0</v>
      </c>
      <c r="B44" s="68" t="s">
        <v>292</v>
      </c>
      <c r="C44" s="74">
        <v>12.0</v>
      </c>
      <c r="D44" s="70" t="s">
        <v>56</v>
      </c>
      <c r="E44" s="101" t="str">
        <f t="shared" si="1"/>
        <v>noviembre</v>
      </c>
      <c r="F44" s="101">
        <f t="shared" si="2"/>
        <v>2025</v>
      </c>
      <c r="G44" s="97" t="s">
        <v>47</v>
      </c>
    </row>
    <row r="45" ht="22.5" customHeight="1">
      <c r="A45" s="69">
        <v>45976.0</v>
      </c>
      <c r="B45" s="68" t="s">
        <v>293</v>
      </c>
      <c r="C45" s="74">
        <v>28.0</v>
      </c>
      <c r="D45" s="70" t="s">
        <v>56</v>
      </c>
      <c r="E45" s="101" t="str">
        <f t="shared" si="1"/>
        <v>noviembre</v>
      </c>
      <c r="F45" s="101">
        <f t="shared" si="2"/>
        <v>2025</v>
      </c>
      <c r="G45" s="97" t="s">
        <v>42</v>
      </c>
    </row>
    <row r="46" ht="22.5" customHeight="1">
      <c r="A46" s="69">
        <v>45976.0</v>
      </c>
      <c r="B46" s="68" t="s">
        <v>294</v>
      </c>
      <c r="C46" s="74">
        <v>200.0</v>
      </c>
      <c r="D46" s="70" t="s">
        <v>56</v>
      </c>
      <c r="E46" s="101" t="str">
        <f t="shared" si="1"/>
        <v>noviembre</v>
      </c>
      <c r="F46" s="101">
        <f t="shared" si="2"/>
        <v>2025</v>
      </c>
      <c r="G46" s="97" t="s">
        <v>84</v>
      </c>
    </row>
    <row r="47" ht="22.5" customHeight="1">
      <c r="A47" s="69">
        <v>45976.0</v>
      </c>
      <c r="B47" s="68" t="s">
        <v>295</v>
      </c>
      <c r="C47" s="74">
        <v>150.0</v>
      </c>
      <c r="D47" s="70" t="s">
        <v>46</v>
      </c>
      <c r="E47" s="101" t="str">
        <f t="shared" si="1"/>
        <v>noviembre</v>
      </c>
      <c r="F47" s="101">
        <f t="shared" si="2"/>
        <v>2025</v>
      </c>
      <c r="G47" s="97" t="s">
        <v>57</v>
      </c>
    </row>
    <row r="48" ht="22.5" customHeight="1">
      <c r="A48" s="69">
        <v>45976.0</v>
      </c>
      <c r="B48" s="68" t="s">
        <v>295</v>
      </c>
      <c r="C48" s="74">
        <v>50.0</v>
      </c>
      <c r="D48" s="70" t="s">
        <v>56</v>
      </c>
      <c r="E48" s="101" t="str">
        <f t="shared" si="1"/>
        <v>noviembre</v>
      </c>
      <c r="F48" s="101">
        <f t="shared" si="2"/>
        <v>2025</v>
      </c>
      <c r="G48" s="97" t="s">
        <v>57</v>
      </c>
    </row>
    <row r="49" ht="22.5" customHeight="1">
      <c r="A49" s="69">
        <v>45976.0</v>
      </c>
      <c r="B49" s="68" t="s">
        <v>296</v>
      </c>
      <c r="C49" s="74">
        <v>1028.0</v>
      </c>
      <c r="D49" s="70" t="s">
        <v>51</v>
      </c>
      <c r="E49" s="101" t="str">
        <f t="shared" si="1"/>
        <v>noviembre</v>
      </c>
      <c r="F49" s="101">
        <f t="shared" si="2"/>
        <v>2025</v>
      </c>
      <c r="G49" s="97" t="s">
        <v>71</v>
      </c>
    </row>
    <row r="50" ht="22.5" customHeight="1">
      <c r="A50" s="69">
        <v>45977.0</v>
      </c>
      <c r="B50" s="68" t="s">
        <v>277</v>
      </c>
      <c r="C50" s="74">
        <v>450.0</v>
      </c>
      <c r="D50" s="70" t="s">
        <v>46</v>
      </c>
      <c r="E50" s="101" t="str">
        <f t="shared" si="1"/>
        <v>noviembre</v>
      </c>
      <c r="F50" s="101">
        <f t="shared" si="2"/>
        <v>2025</v>
      </c>
      <c r="G50" s="97" t="s">
        <v>57</v>
      </c>
    </row>
    <row r="51" ht="22.5" customHeight="1">
      <c r="A51" s="69">
        <v>45977.0</v>
      </c>
      <c r="B51" s="68" t="s">
        <v>74</v>
      </c>
      <c r="C51" s="74">
        <v>667.0</v>
      </c>
      <c r="D51" s="70" t="s">
        <v>46</v>
      </c>
      <c r="E51" s="101" t="str">
        <f t="shared" si="1"/>
        <v>noviembre</v>
      </c>
      <c r="F51" s="101">
        <f t="shared" si="2"/>
        <v>2025</v>
      </c>
      <c r="G51" s="97" t="s">
        <v>74</v>
      </c>
    </row>
    <row r="52" ht="22.5" customHeight="1">
      <c r="A52" s="69">
        <v>45977.0</v>
      </c>
      <c r="B52" s="68" t="s">
        <v>297</v>
      </c>
      <c r="C52" s="74">
        <v>375.0</v>
      </c>
      <c r="D52" s="70" t="s">
        <v>51</v>
      </c>
      <c r="E52" s="101" t="str">
        <f t="shared" si="1"/>
        <v>noviembre</v>
      </c>
      <c r="F52" s="101">
        <f t="shared" si="2"/>
        <v>2025</v>
      </c>
      <c r="G52" s="97" t="s">
        <v>85</v>
      </c>
    </row>
    <row r="53" ht="22.5" customHeight="1">
      <c r="A53" s="69">
        <v>45977.0</v>
      </c>
      <c r="B53" s="68" t="s">
        <v>86</v>
      </c>
      <c r="C53" s="74">
        <v>150.0</v>
      </c>
      <c r="D53" s="70" t="s">
        <v>46</v>
      </c>
      <c r="E53" s="101" t="str">
        <f t="shared" si="1"/>
        <v>noviembre</v>
      </c>
      <c r="F53" s="101">
        <f t="shared" si="2"/>
        <v>2025</v>
      </c>
      <c r="G53" s="97" t="s">
        <v>86</v>
      </c>
    </row>
    <row r="54" ht="22.5" customHeight="1">
      <c r="A54" s="69">
        <v>45977.0</v>
      </c>
      <c r="B54" s="68" t="s">
        <v>298</v>
      </c>
      <c r="C54" s="74">
        <v>139.0</v>
      </c>
      <c r="D54" s="70" t="s">
        <v>46</v>
      </c>
      <c r="E54" s="101" t="str">
        <f t="shared" si="1"/>
        <v>noviembre</v>
      </c>
      <c r="F54" s="101">
        <f t="shared" si="2"/>
        <v>2025</v>
      </c>
      <c r="G54" s="97" t="s">
        <v>71</v>
      </c>
    </row>
    <row r="55" ht="22.5" customHeight="1">
      <c r="A55" s="69">
        <v>45982.0</v>
      </c>
      <c r="B55" s="68" t="s">
        <v>274</v>
      </c>
      <c r="C55" s="74">
        <v>500.0</v>
      </c>
      <c r="D55" s="70" t="s">
        <v>51</v>
      </c>
      <c r="E55" s="101" t="str">
        <f t="shared" si="1"/>
        <v>noviembre</v>
      </c>
      <c r="F55" s="101">
        <f t="shared" si="2"/>
        <v>2025</v>
      </c>
      <c r="G55" s="97" t="s">
        <v>57</v>
      </c>
    </row>
    <row r="56" ht="22.5" customHeight="1">
      <c r="A56" s="69">
        <v>45983.0</v>
      </c>
      <c r="B56" s="68" t="s">
        <v>299</v>
      </c>
      <c r="C56" s="74">
        <v>300.0</v>
      </c>
      <c r="D56" s="70" t="s">
        <v>46</v>
      </c>
      <c r="E56" s="101" t="str">
        <f t="shared" si="1"/>
        <v>noviembre</v>
      </c>
      <c r="F56" s="101">
        <f t="shared" si="2"/>
        <v>2025</v>
      </c>
      <c r="G56" s="97" t="s">
        <v>57</v>
      </c>
    </row>
    <row r="57" ht="22.5" customHeight="1">
      <c r="A57" s="69">
        <v>45983.0</v>
      </c>
      <c r="B57" s="68" t="s">
        <v>268</v>
      </c>
      <c r="C57" s="74">
        <v>40.0</v>
      </c>
      <c r="D57" s="70" t="s">
        <v>51</v>
      </c>
      <c r="E57" s="101" t="str">
        <f t="shared" si="1"/>
        <v>noviembre</v>
      </c>
      <c r="F57" s="101">
        <f t="shared" si="2"/>
        <v>2025</v>
      </c>
      <c r="G57" s="97" t="s">
        <v>52</v>
      </c>
    </row>
    <row r="58" ht="22.5" customHeight="1">
      <c r="A58" s="69">
        <v>45983.0</v>
      </c>
      <c r="B58" s="68" t="s">
        <v>267</v>
      </c>
      <c r="C58" s="74">
        <v>500.0</v>
      </c>
      <c r="D58" s="70" t="s">
        <v>51</v>
      </c>
      <c r="E58" s="101" t="str">
        <f t="shared" si="1"/>
        <v>noviembre</v>
      </c>
      <c r="F58" s="101">
        <f t="shared" si="2"/>
        <v>2025</v>
      </c>
      <c r="G58" s="97" t="s">
        <v>57</v>
      </c>
    </row>
    <row r="59" ht="22.5" customHeight="1">
      <c r="A59" s="69">
        <v>45983.0</v>
      </c>
      <c r="B59" s="68" t="s">
        <v>300</v>
      </c>
      <c r="C59" s="74">
        <v>383.0</v>
      </c>
      <c r="D59" s="70" t="s">
        <v>51</v>
      </c>
      <c r="E59" s="101" t="str">
        <f t="shared" si="1"/>
        <v>noviembre</v>
      </c>
      <c r="F59" s="101">
        <f t="shared" si="2"/>
        <v>2025</v>
      </c>
      <c r="G59" s="97" t="s">
        <v>88</v>
      </c>
    </row>
    <row r="60" ht="22.5" customHeight="1">
      <c r="A60" s="69">
        <v>45984.0</v>
      </c>
      <c r="B60" s="68" t="s">
        <v>261</v>
      </c>
      <c r="C60" s="74">
        <v>500.0</v>
      </c>
      <c r="D60" s="70" t="s">
        <v>51</v>
      </c>
      <c r="E60" s="101" t="str">
        <f t="shared" si="1"/>
        <v>noviembre</v>
      </c>
      <c r="F60" s="101">
        <f t="shared" si="2"/>
        <v>2025</v>
      </c>
      <c r="G60" s="97" t="s">
        <v>57</v>
      </c>
    </row>
    <row r="61" ht="22.5" customHeight="1">
      <c r="A61" s="69">
        <v>45989.0</v>
      </c>
      <c r="B61" s="68" t="s">
        <v>301</v>
      </c>
      <c r="C61" s="74">
        <v>500.0</v>
      </c>
      <c r="D61" s="70" t="s">
        <v>46</v>
      </c>
      <c r="E61" s="101" t="str">
        <f t="shared" si="1"/>
        <v>noviembre</v>
      </c>
      <c r="F61" s="101">
        <f t="shared" si="2"/>
        <v>2025</v>
      </c>
      <c r="G61" s="97" t="s">
        <v>57</v>
      </c>
    </row>
    <row r="62" ht="22.5" customHeight="1">
      <c r="A62" s="69">
        <v>45989.0</v>
      </c>
      <c r="B62" s="68" t="s">
        <v>302</v>
      </c>
      <c r="C62" s="74">
        <v>475.0</v>
      </c>
      <c r="D62" s="70" t="s">
        <v>46</v>
      </c>
      <c r="E62" s="101" t="str">
        <f t="shared" si="1"/>
        <v>noviembre</v>
      </c>
      <c r="F62" s="101">
        <f t="shared" si="2"/>
        <v>2025</v>
      </c>
      <c r="G62" s="97" t="s">
        <v>85</v>
      </c>
    </row>
    <row r="63" ht="22.5" customHeight="1">
      <c r="A63" s="69">
        <v>45989.0</v>
      </c>
      <c r="B63" s="68" t="s">
        <v>281</v>
      </c>
      <c r="C63" s="74">
        <v>400.0</v>
      </c>
      <c r="D63" s="70" t="s">
        <v>56</v>
      </c>
      <c r="E63" s="101" t="str">
        <f t="shared" si="1"/>
        <v>noviembre</v>
      </c>
      <c r="F63" s="101">
        <f t="shared" si="2"/>
        <v>2025</v>
      </c>
      <c r="G63" s="97" t="s">
        <v>77</v>
      </c>
    </row>
    <row r="64" ht="22.5" customHeight="1">
      <c r="A64" s="69">
        <v>45990.0</v>
      </c>
      <c r="B64" s="68" t="s">
        <v>282</v>
      </c>
      <c r="C64" s="74">
        <v>280.0</v>
      </c>
      <c r="D64" s="70" t="s">
        <v>46</v>
      </c>
      <c r="E64" s="101" t="str">
        <f t="shared" si="1"/>
        <v>noviembre</v>
      </c>
      <c r="F64" s="101">
        <f t="shared" si="2"/>
        <v>2025</v>
      </c>
      <c r="G64" s="97" t="s">
        <v>88</v>
      </c>
    </row>
    <row r="65" ht="22.5" customHeight="1">
      <c r="A65" s="69">
        <v>45990.0</v>
      </c>
      <c r="B65" s="68" t="s">
        <v>277</v>
      </c>
      <c r="C65" s="74">
        <v>500.0</v>
      </c>
      <c r="D65" s="70" t="s">
        <v>46</v>
      </c>
      <c r="E65" s="101" t="str">
        <f t="shared" si="1"/>
        <v>noviembre</v>
      </c>
      <c r="F65" s="101">
        <f t="shared" si="2"/>
        <v>2025</v>
      </c>
      <c r="G65" s="97" t="s">
        <v>57</v>
      </c>
    </row>
    <row r="66" ht="22.5" customHeight="1">
      <c r="A66" s="69">
        <v>45990.0</v>
      </c>
      <c r="B66" s="68" t="s">
        <v>287</v>
      </c>
      <c r="C66" s="74">
        <v>400.0</v>
      </c>
      <c r="D66" s="70" t="s">
        <v>46</v>
      </c>
      <c r="E66" s="101" t="str">
        <f t="shared" si="1"/>
        <v>noviembre</v>
      </c>
      <c r="F66" s="101">
        <f t="shared" si="2"/>
        <v>2025</v>
      </c>
      <c r="G66" s="97" t="s">
        <v>85</v>
      </c>
    </row>
    <row r="67" ht="22.5" customHeight="1">
      <c r="A67" s="69">
        <v>45990.0</v>
      </c>
      <c r="B67" s="68" t="s">
        <v>74</v>
      </c>
      <c r="C67" s="74">
        <v>1404.0</v>
      </c>
      <c r="D67" s="70" t="s">
        <v>46</v>
      </c>
      <c r="E67" s="101" t="str">
        <f t="shared" si="1"/>
        <v>noviembre</v>
      </c>
      <c r="F67" s="101">
        <f t="shared" si="2"/>
        <v>2025</v>
      </c>
      <c r="G67" s="97" t="s">
        <v>74</v>
      </c>
    </row>
    <row r="68" ht="22.5" customHeight="1">
      <c r="A68" s="69">
        <v>45990.0</v>
      </c>
      <c r="B68" s="68" t="s">
        <v>303</v>
      </c>
      <c r="C68" s="74">
        <v>252.0</v>
      </c>
      <c r="D68" s="70" t="s">
        <v>56</v>
      </c>
      <c r="E68" s="101" t="str">
        <f t="shared" si="1"/>
        <v>noviembre</v>
      </c>
      <c r="F68" s="101">
        <f t="shared" si="2"/>
        <v>2025</v>
      </c>
      <c r="G68" s="97" t="s">
        <v>42</v>
      </c>
    </row>
    <row r="69" ht="22.5" customHeight="1">
      <c r="A69" s="69">
        <v>45990.0</v>
      </c>
      <c r="B69" s="68" t="s">
        <v>304</v>
      </c>
      <c r="C69" s="74">
        <v>580.0</v>
      </c>
      <c r="D69" s="70" t="s">
        <v>56</v>
      </c>
      <c r="E69" s="101" t="str">
        <f t="shared" si="1"/>
        <v>noviembre</v>
      </c>
      <c r="F69" s="101">
        <f t="shared" si="2"/>
        <v>2025</v>
      </c>
      <c r="G69" s="97" t="s">
        <v>42</v>
      </c>
    </row>
    <row r="70" ht="22.5" customHeight="1">
      <c r="A70" s="69">
        <v>45990.0</v>
      </c>
      <c r="B70" s="68" t="s">
        <v>305</v>
      </c>
      <c r="C70" s="74">
        <v>311.0</v>
      </c>
      <c r="D70" s="70" t="s">
        <v>56</v>
      </c>
      <c r="E70" s="101" t="str">
        <f t="shared" si="1"/>
        <v>noviembre</v>
      </c>
      <c r="F70" s="101">
        <f t="shared" si="2"/>
        <v>2025</v>
      </c>
      <c r="G70" s="97" t="s">
        <v>42</v>
      </c>
    </row>
    <row r="71" ht="22.5" customHeight="1">
      <c r="A71" s="69">
        <v>45991.0</v>
      </c>
      <c r="B71" s="68" t="s">
        <v>277</v>
      </c>
      <c r="C71" s="74">
        <v>500.0</v>
      </c>
      <c r="D71" s="70" t="s">
        <v>51</v>
      </c>
      <c r="E71" s="101" t="str">
        <f t="shared" si="1"/>
        <v>noviembre</v>
      </c>
      <c r="F71" s="101">
        <f t="shared" si="2"/>
        <v>2025</v>
      </c>
      <c r="G71" s="97" t="s">
        <v>57</v>
      </c>
    </row>
    <row r="72" ht="22.5" customHeight="1">
      <c r="A72" s="69">
        <v>45997.0</v>
      </c>
      <c r="B72" s="68" t="s">
        <v>306</v>
      </c>
      <c r="C72" s="74">
        <v>75.0</v>
      </c>
      <c r="D72" s="70" t="s">
        <v>46</v>
      </c>
      <c r="E72" s="101" t="str">
        <f t="shared" si="1"/>
        <v>diciembre</v>
      </c>
      <c r="F72" s="101">
        <f t="shared" si="2"/>
        <v>2025</v>
      </c>
      <c r="G72" s="97" t="s">
        <v>47</v>
      </c>
    </row>
    <row r="73" ht="22.5" customHeight="1">
      <c r="A73" s="69">
        <v>45997.0</v>
      </c>
      <c r="B73" s="68" t="s">
        <v>307</v>
      </c>
      <c r="C73" s="74">
        <v>351.0</v>
      </c>
      <c r="D73" s="70" t="s">
        <v>46</v>
      </c>
      <c r="E73" s="101" t="str">
        <f t="shared" si="1"/>
        <v>diciembre</v>
      </c>
      <c r="F73" s="101">
        <f t="shared" si="2"/>
        <v>2025</v>
      </c>
      <c r="G73" s="97" t="s">
        <v>42</v>
      </c>
    </row>
    <row r="74" ht="22.5" customHeight="1">
      <c r="A74" s="69">
        <v>45997.0</v>
      </c>
      <c r="B74" s="68" t="s">
        <v>281</v>
      </c>
      <c r="C74" s="74">
        <v>500.0</v>
      </c>
      <c r="D74" s="70" t="s">
        <v>46</v>
      </c>
      <c r="E74" s="101" t="str">
        <f t="shared" si="1"/>
        <v>diciembre</v>
      </c>
      <c r="F74" s="101">
        <f t="shared" si="2"/>
        <v>2025</v>
      </c>
      <c r="G74" s="97" t="s">
        <v>77</v>
      </c>
    </row>
    <row r="75" ht="22.5" customHeight="1">
      <c r="A75" s="69">
        <v>45997.0</v>
      </c>
      <c r="B75" s="68" t="s">
        <v>308</v>
      </c>
      <c r="C75" s="74">
        <v>102.0</v>
      </c>
      <c r="D75" s="70" t="s">
        <v>46</v>
      </c>
      <c r="E75" s="101" t="str">
        <f t="shared" si="1"/>
        <v>diciembre</v>
      </c>
      <c r="F75" s="101">
        <f t="shared" si="2"/>
        <v>2025</v>
      </c>
      <c r="G75" s="97" t="s">
        <v>47</v>
      </c>
    </row>
    <row r="76" ht="22.5" customHeight="1">
      <c r="A76" s="69">
        <v>45997.0</v>
      </c>
      <c r="B76" s="68" t="s">
        <v>309</v>
      </c>
      <c r="C76" s="74">
        <v>2850.0</v>
      </c>
      <c r="D76" s="70" t="s">
        <v>46</v>
      </c>
      <c r="E76" s="101" t="str">
        <f t="shared" si="1"/>
        <v>diciembre</v>
      </c>
      <c r="F76" s="101">
        <f t="shared" si="2"/>
        <v>2025</v>
      </c>
      <c r="G76" s="97" t="s">
        <v>80</v>
      </c>
    </row>
    <row r="77" ht="22.5" customHeight="1">
      <c r="A77" s="69">
        <v>45997.0</v>
      </c>
      <c r="B77" s="68" t="s">
        <v>277</v>
      </c>
      <c r="C77" s="74">
        <v>500.0</v>
      </c>
      <c r="D77" s="70" t="s">
        <v>51</v>
      </c>
      <c r="E77" s="101" t="str">
        <f t="shared" si="1"/>
        <v>diciembre</v>
      </c>
      <c r="F77" s="101">
        <f t="shared" si="2"/>
        <v>2025</v>
      </c>
      <c r="G77" s="97" t="s">
        <v>57</v>
      </c>
    </row>
    <row r="78" ht="22.5" customHeight="1">
      <c r="A78" s="69">
        <v>45997.0</v>
      </c>
      <c r="B78" s="68" t="s">
        <v>261</v>
      </c>
      <c r="C78" s="74">
        <v>500.0</v>
      </c>
      <c r="D78" s="70" t="s">
        <v>51</v>
      </c>
      <c r="E78" s="101" t="str">
        <f t="shared" si="1"/>
        <v>diciembre</v>
      </c>
      <c r="F78" s="101">
        <f t="shared" si="2"/>
        <v>2025</v>
      </c>
      <c r="G78" s="97" t="s">
        <v>57</v>
      </c>
    </row>
    <row r="79" ht="22.5" customHeight="1">
      <c r="A79" s="69">
        <v>45997.0</v>
      </c>
      <c r="B79" s="68" t="s">
        <v>267</v>
      </c>
      <c r="C79" s="74">
        <v>300.0</v>
      </c>
      <c r="D79" s="70" t="s">
        <v>51</v>
      </c>
      <c r="E79" s="101" t="str">
        <f t="shared" si="1"/>
        <v>diciembre</v>
      </c>
      <c r="F79" s="101">
        <f t="shared" si="2"/>
        <v>2025</v>
      </c>
      <c r="G79" s="97" t="s">
        <v>57</v>
      </c>
    </row>
    <row r="80" ht="22.5" customHeight="1">
      <c r="A80" s="69">
        <v>45997.0</v>
      </c>
      <c r="B80" s="68" t="s">
        <v>282</v>
      </c>
      <c r="C80" s="74">
        <v>350.0</v>
      </c>
      <c r="D80" s="70" t="s">
        <v>51</v>
      </c>
      <c r="E80" s="101" t="str">
        <f t="shared" si="1"/>
        <v>diciembre</v>
      </c>
      <c r="F80" s="101">
        <f t="shared" si="2"/>
        <v>2025</v>
      </c>
      <c r="G80" s="97" t="s">
        <v>88</v>
      </c>
    </row>
    <row r="81" ht="22.5" customHeight="1">
      <c r="A81" s="69">
        <v>45997.0</v>
      </c>
      <c r="B81" s="68" t="s">
        <v>281</v>
      </c>
      <c r="C81" s="74">
        <v>1000.0</v>
      </c>
      <c r="D81" s="70" t="s">
        <v>56</v>
      </c>
      <c r="E81" s="101" t="str">
        <f t="shared" si="1"/>
        <v>diciembre</v>
      </c>
      <c r="F81" s="101">
        <f t="shared" si="2"/>
        <v>2025</v>
      </c>
      <c r="G81" s="97" t="s">
        <v>77</v>
      </c>
    </row>
    <row r="82" ht="22.5" customHeight="1">
      <c r="A82" s="69">
        <v>45998.0</v>
      </c>
      <c r="B82" s="68" t="s">
        <v>301</v>
      </c>
      <c r="C82" s="74">
        <v>450.0</v>
      </c>
      <c r="D82" s="70" t="s">
        <v>51</v>
      </c>
      <c r="E82" s="101" t="str">
        <f t="shared" si="1"/>
        <v>diciembre</v>
      </c>
      <c r="F82" s="101">
        <f t="shared" si="2"/>
        <v>2025</v>
      </c>
      <c r="G82" s="97" t="s">
        <v>57</v>
      </c>
    </row>
    <row r="83" ht="22.5" customHeight="1">
      <c r="A83" s="69">
        <v>46000.0</v>
      </c>
      <c r="B83" s="68" t="s">
        <v>261</v>
      </c>
      <c r="C83" s="74">
        <v>500.0</v>
      </c>
      <c r="D83" s="70" t="s">
        <v>46</v>
      </c>
      <c r="E83" s="101" t="str">
        <f t="shared" si="1"/>
        <v>diciembre</v>
      </c>
      <c r="F83" s="101">
        <f t="shared" si="2"/>
        <v>2025</v>
      </c>
      <c r="G83" s="97" t="s">
        <v>57</v>
      </c>
    </row>
    <row r="84" ht="22.5" customHeight="1">
      <c r="A84" s="69">
        <v>46003.0</v>
      </c>
      <c r="B84" s="68" t="s">
        <v>310</v>
      </c>
      <c r="C84" s="74">
        <v>80.0</v>
      </c>
      <c r="D84" s="70" t="s">
        <v>46</v>
      </c>
      <c r="E84" s="101" t="str">
        <f t="shared" si="1"/>
        <v>diciembre</v>
      </c>
      <c r="F84" s="101">
        <f t="shared" si="2"/>
        <v>2025</v>
      </c>
      <c r="G84" s="97" t="s">
        <v>42</v>
      </c>
    </row>
    <row r="85" ht="22.5" customHeight="1">
      <c r="A85" s="69">
        <v>46003.0</v>
      </c>
      <c r="B85" s="68" t="s">
        <v>261</v>
      </c>
      <c r="C85" s="74">
        <v>500.0</v>
      </c>
      <c r="D85" s="70" t="s">
        <v>51</v>
      </c>
      <c r="E85" s="101" t="str">
        <f t="shared" si="1"/>
        <v>diciembre</v>
      </c>
      <c r="F85" s="101">
        <f t="shared" si="2"/>
        <v>2025</v>
      </c>
      <c r="G85" s="97" t="s">
        <v>57</v>
      </c>
    </row>
    <row r="86" ht="22.5" customHeight="1">
      <c r="A86" s="69">
        <v>46003.0</v>
      </c>
      <c r="B86" s="68" t="s">
        <v>311</v>
      </c>
      <c r="C86" s="74">
        <v>4981.0</v>
      </c>
      <c r="D86" s="70" t="s">
        <v>56</v>
      </c>
      <c r="E86" s="101" t="str">
        <f t="shared" si="1"/>
        <v>diciembre</v>
      </c>
      <c r="F86" s="101">
        <f t="shared" si="2"/>
        <v>2025</v>
      </c>
      <c r="G86" s="97" t="s">
        <v>42</v>
      </c>
    </row>
    <row r="87" ht="22.5" customHeight="1">
      <c r="A87" s="69">
        <v>46004.0</v>
      </c>
      <c r="B87" s="68" t="s">
        <v>312</v>
      </c>
      <c r="C87" s="74">
        <v>196.0</v>
      </c>
      <c r="D87" s="70" t="s">
        <v>46</v>
      </c>
      <c r="E87" s="101" t="str">
        <f t="shared" si="1"/>
        <v>diciembre</v>
      </c>
      <c r="F87" s="101">
        <f t="shared" si="2"/>
        <v>2025</v>
      </c>
      <c r="G87" s="97" t="s">
        <v>42</v>
      </c>
    </row>
    <row r="88" ht="22.5" customHeight="1">
      <c r="A88" s="69">
        <v>46004.0</v>
      </c>
      <c r="B88" s="68" t="s">
        <v>281</v>
      </c>
      <c r="C88" s="74">
        <v>1000.0</v>
      </c>
      <c r="D88" s="70" t="s">
        <v>46</v>
      </c>
      <c r="E88" s="101" t="str">
        <f t="shared" si="1"/>
        <v>diciembre</v>
      </c>
      <c r="F88" s="101">
        <f t="shared" si="2"/>
        <v>2025</v>
      </c>
      <c r="G88" s="97" t="s">
        <v>77</v>
      </c>
    </row>
    <row r="89" ht="22.5" customHeight="1">
      <c r="A89" s="69">
        <v>46004.0</v>
      </c>
      <c r="B89" s="68" t="s">
        <v>282</v>
      </c>
      <c r="C89" s="74">
        <v>350.0</v>
      </c>
      <c r="D89" s="70" t="s">
        <v>46</v>
      </c>
      <c r="E89" s="101" t="str">
        <f t="shared" si="1"/>
        <v>diciembre</v>
      </c>
      <c r="F89" s="101">
        <f t="shared" si="2"/>
        <v>2025</v>
      </c>
      <c r="G89" s="97" t="s">
        <v>88</v>
      </c>
    </row>
    <row r="90" ht="22.5" customHeight="1">
      <c r="A90" s="69">
        <v>46004.0</v>
      </c>
      <c r="B90" s="68" t="s">
        <v>301</v>
      </c>
      <c r="C90" s="74">
        <v>500.0</v>
      </c>
      <c r="D90" s="70" t="s">
        <v>46</v>
      </c>
      <c r="E90" s="101" t="str">
        <f t="shared" si="1"/>
        <v>diciembre</v>
      </c>
      <c r="F90" s="101">
        <f t="shared" si="2"/>
        <v>2025</v>
      </c>
      <c r="G90" s="97" t="s">
        <v>57</v>
      </c>
    </row>
    <row r="91" ht="22.5" customHeight="1">
      <c r="A91" s="69">
        <v>46004.0</v>
      </c>
      <c r="B91" s="68" t="s">
        <v>261</v>
      </c>
      <c r="C91" s="74">
        <v>500.0</v>
      </c>
      <c r="D91" s="70" t="s">
        <v>51</v>
      </c>
      <c r="E91" s="101" t="str">
        <f t="shared" si="1"/>
        <v>diciembre</v>
      </c>
      <c r="F91" s="101">
        <f t="shared" si="2"/>
        <v>2025</v>
      </c>
      <c r="G91" s="97" t="s">
        <v>57</v>
      </c>
    </row>
    <row r="92" ht="22.5" customHeight="1">
      <c r="A92" s="69">
        <v>46004.0</v>
      </c>
      <c r="B92" s="68" t="s">
        <v>313</v>
      </c>
      <c r="C92" s="74">
        <v>1090.0</v>
      </c>
      <c r="D92" s="70" t="s">
        <v>51</v>
      </c>
      <c r="E92" s="101" t="str">
        <f t="shared" si="1"/>
        <v>diciembre</v>
      </c>
      <c r="F92" s="101">
        <f t="shared" si="2"/>
        <v>2025</v>
      </c>
      <c r="G92" s="97" t="s">
        <v>88</v>
      </c>
    </row>
    <row r="93" ht="22.5" customHeight="1">
      <c r="A93" s="69">
        <v>46004.0</v>
      </c>
      <c r="B93" s="68" t="s">
        <v>314</v>
      </c>
      <c r="C93" s="74">
        <v>40.0</v>
      </c>
      <c r="D93" s="70" t="s">
        <v>51</v>
      </c>
      <c r="E93" s="101" t="str">
        <f t="shared" si="1"/>
        <v>diciembre</v>
      </c>
      <c r="F93" s="101">
        <f t="shared" si="2"/>
        <v>2025</v>
      </c>
      <c r="G93" s="97" t="s">
        <v>47</v>
      </c>
    </row>
    <row r="94" ht="22.5" customHeight="1">
      <c r="A94" s="69">
        <v>46004.0</v>
      </c>
      <c r="B94" s="68" t="s">
        <v>315</v>
      </c>
      <c r="C94" s="74">
        <v>1200.0</v>
      </c>
      <c r="D94" s="70" t="s">
        <v>51</v>
      </c>
      <c r="E94" s="101" t="str">
        <f t="shared" si="1"/>
        <v>diciembre</v>
      </c>
      <c r="F94" s="101">
        <f t="shared" si="2"/>
        <v>2025</v>
      </c>
      <c r="G94" s="97" t="s">
        <v>85</v>
      </c>
    </row>
    <row r="95" ht="22.5" customHeight="1">
      <c r="A95" s="69">
        <v>46004.0</v>
      </c>
      <c r="B95" s="68" t="s">
        <v>316</v>
      </c>
      <c r="C95" s="74">
        <v>1050.0</v>
      </c>
      <c r="D95" s="70" t="s">
        <v>56</v>
      </c>
      <c r="E95" s="101" t="str">
        <f t="shared" si="1"/>
        <v>diciembre</v>
      </c>
      <c r="F95" s="101">
        <f t="shared" si="2"/>
        <v>2025</v>
      </c>
      <c r="G95" s="97" t="s">
        <v>42</v>
      </c>
    </row>
    <row r="96" ht="22.5" customHeight="1">
      <c r="A96" s="69">
        <v>46004.0</v>
      </c>
      <c r="B96" s="68" t="s">
        <v>317</v>
      </c>
      <c r="C96" s="74">
        <v>60.0</v>
      </c>
      <c r="D96" s="70" t="s">
        <v>56</v>
      </c>
      <c r="E96" s="101" t="str">
        <f t="shared" si="1"/>
        <v>diciembre</v>
      </c>
      <c r="F96" s="101">
        <f t="shared" si="2"/>
        <v>2025</v>
      </c>
      <c r="G96" s="97" t="s">
        <v>71</v>
      </c>
    </row>
    <row r="97" ht="22.5" customHeight="1">
      <c r="A97" s="69">
        <v>46005.0</v>
      </c>
      <c r="B97" s="68" t="s">
        <v>318</v>
      </c>
      <c r="C97" s="74">
        <v>2000.0</v>
      </c>
      <c r="D97" s="70" t="s">
        <v>46</v>
      </c>
      <c r="E97" s="101" t="str">
        <f t="shared" si="1"/>
        <v>diciembre</v>
      </c>
      <c r="F97" s="101">
        <f t="shared" si="2"/>
        <v>2025</v>
      </c>
      <c r="G97" s="97" t="s">
        <v>84</v>
      </c>
    </row>
    <row r="98" ht="22.5" customHeight="1">
      <c r="A98" s="69">
        <v>46005.0</v>
      </c>
      <c r="B98" s="68" t="s">
        <v>301</v>
      </c>
      <c r="C98" s="74">
        <v>500.0</v>
      </c>
      <c r="D98" s="70" t="s">
        <v>51</v>
      </c>
      <c r="E98" s="101" t="str">
        <f t="shared" si="1"/>
        <v>diciembre</v>
      </c>
      <c r="F98" s="101">
        <f t="shared" si="2"/>
        <v>2025</v>
      </c>
      <c r="G98" s="97" t="s">
        <v>57</v>
      </c>
    </row>
    <row r="99" ht="22.5" customHeight="1">
      <c r="A99" s="69">
        <v>46005.0</v>
      </c>
      <c r="B99" s="68" t="s">
        <v>277</v>
      </c>
      <c r="C99" s="74">
        <v>500.0</v>
      </c>
      <c r="D99" s="70" t="s">
        <v>51</v>
      </c>
      <c r="E99" s="101" t="str">
        <f t="shared" si="1"/>
        <v>diciembre</v>
      </c>
      <c r="F99" s="101">
        <f t="shared" si="2"/>
        <v>2025</v>
      </c>
      <c r="G99" s="97" t="s">
        <v>57</v>
      </c>
    </row>
    <row r="100" ht="22.5" customHeight="1">
      <c r="A100" s="69">
        <v>46005.0</v>
      </c>
      <c r="B100" s="68" t="s">
        <v>290</v>
      </c>
      <c r="C100" s="74">
        <v>176.0</v>
      </c>
      <c r="D100" s="70" t="s">
        <v>56</v>
      </c>
      <c r="E100" s="101" t="str">
        <f t="shared" si="1"/>
        <v>diciembre</v>
      </c>
      <c r="F100" s="101">
        <f t="shared" si="2"/>
        <v>2025</v>
      </c>
      <c r="G100" s="97" t="s">
        <v>42</v>
      </c>
    </row>
    <row r="101" ht="22.5" customHeight="1">
      <c r="A101" s="69">
        <v>46005.0</v>
      </c>
      <c r="B101" s="68" t="s">
        <v>295</v>
      </c>
      <c r="C101" s="74">
        <v>100.0</v>
      </c>
      <c r="D101" s="70" t="s">
        <v>56</v>
      </c>
      <c r="E101" s="101" t="str">
        <f t="shared" si="1"/>
        <v>diciembre</v>
      </c>
      <c r="F101" s="101">
        <f t="shared" si="2"/>
        <v>2025</v>
      </c>
      <c r="G101" s="97" t="s">
        <v>57</v>
      </c>
    </row>
    <row r="102" ht="22.5" customHeight="1">
      <c r="A102" s="69">
        <v>46010.0</v>
      </c>
      <c r="B102" s="68" t="s">
        <v>319</v>
      </c>
      <c r="C102" s="74">
        <v>1800.0</v>
      </c>
      <c r="D102" s="70" t="s">
        <v>56</v>
      </c>
      <c r="E102" s="101" t="str">
        <f t="shared" si="1"/>
        <v>diciembre</v>
      </c>
      <c r="F102" s="101">
        <f t="shared" si="2"/>
        <v>2025</v>
      </c>
      <c r="G102" s="97" t="s">
        <v>80</v>
      </c>
    </row>
    <row r="103" ht="22.5" customHeight="1">
      <c r="A103" s="69">
        <v>46011.0</v>
      </c>
      <c r="B103" s="68" t="s">
        <v>315</v>
      </c>
      <c r="C103" s="74">
        <v>1200.0</v>
      </c>
      <c r="D103" s="70" t="s">
        <v>46</v>
      </c>
      <c r="E103" s="101" t="str">
        <f t="shared" si="1"/>
        <v>diciembre</v>
      </c>
      <c r="F103" s="101">
        <f t="shared" si="2"/>
        <v>2025</v>
      </c>
      <c r="G103" s="97" t="s">
        <v>85</v>
      </c>
    </row>
    <row r="104" ht="22.5" customHeight="1">
      <c r="A104" s="69">
        <v>46011.0</v>
      </c>
      <c r="B104" s="68" t="s">
        <v>277</v>
      </c>
      <c r="C104" s="74">
        <v>500.0</v>
      </c>
      <c r="D104" s="70" t="s">
        <v>46</v>
      </c>
      <c r="E104" s="101" t="str">
        <f t="shared" si="1"/>
        <v>diciembre</v>
      </c>
      <c r="F104" s="101">
        <f t="shared" si="2"/>
        <v>2025</v>
      </c>
      <c r="G104" s="97" t="s">
        <v>57</v>
      </c>
    </row>
    <row r="105" ht="22.5" customHeight="1">
      <c r="A105" s="69">
        <v>46011.0</v>
      </c>
      <c r="B105" s="68" t="s">
        <v>320</v>
      </c>
      <c r="C105" s="74">
        <v>200.0</v>
      </c>
      <c r="D105" s="70" t="s">
        <v>46</v>
      </c>
      <c r="E105" s="101" t="str">
        <f t="shared" si="1"/>
        <v>diciembre</v>
      </c>
      <c r="F105" s="101">
        <f t="shared" si="2"/>
        <v>2025</v>
      </c>
      <c r="G105" s="97" t="s">
        <v>42</v>
      </c>
    </row>
    <row r="106" ht="22.5" customHeight="1">
      <c r="A106" s="69">
        <v>46011.0</v>
      </c>
      <c r="B106" s="68" t="s">
        <v>321</v>
      </c>
      <c r="C106" s="74">
        <v>155.0</v>
      </c>
      <c r="D106" s="70" t="s">
        <v>46</v>
      </c>
      <c r="E106" s="101" t="str">
        <f t="shared" si="1"/>
        <v>diciembre</v>
      </c>
      <c r="F106" s="101">
        <f t="shared" si="2"/>
        <v>2025</v>
      </c>
      <c r="G106" s="97" t="s">
        <v>42</v>
      </c>
    </row>
    <row r="107" ht="22.5" customHeight="1">
      <c r="A107" s="69">
        <v>46011.0</v>
      </c>
      <c r="B107" s="68" t="s">
        <v>261</v>
      </c>
      <c r="C107" s="74">
        <v>500.0</v>
      </c>
      <c r="D107" s="70" t="s">
        <v>51</v>
      </c>
      <c r="E107" s="101" t="str">
        <f t="shared" si="1"/>
        <v>diciembre</v>
      </c>
      <c r="F107" s="101">
        <f t="shared" si="2"/>
        <v>2025</v>
      </c>
      <c r="G107" s="97" t="s">
        <v>57</v>
      </c>
    </row>
    <row r="108" ht="22.5" customHeight="1">
      <c r="A108" s="69">
        <v>46011.0</v>
      </c>
      <c r="B108" s="68" t="s">
        <v>300</v>
      </c>
      <c r="C108" s="74">
        <v>383.0</v>
      </c>
      <c r="D108" s="70" t="s">
        <v>51</v>
      </c>
      <c r="E108" s="101" t="str">
        <f t="shared" si="1"/>
        <v>diciembre</v>
      </c>
      <c r="F108" s="101">
        <f t="shared" si="2"/>
        <v>2025</v>
      </c>
      <c r="G108" s="97" t="s">
        <v>88</v>
      </c>
    </row>
    <row r="109" ht="22.5" customHeight="1">
      <c r="A109" s="69">
        <v>46011.0</v>
      </c>
      <c r="B109" s="68" t="s">
        <v>322</v>
      </c>
      <c r="C109" s="74">
        <v>1800.0</v>
      </c>
      <c r="D109" s="70" t="s">
        <v>56</v>
      </c>
      <c r="E109" s="101" t="str">
        <f t="shared" si="1"/>
        <v>diciembre</v>
      </c>
      <c r="F109" s="101">
        <f t="shared" si="2"/>
        <v>2025</v>
      </c>
      <c r="G109" s="97" t="s">
        <v>80</v>
      </c>
    </row>
    <row r="110" ht="22.5" customHeight="1">
      <c r="A110" s="69">
        <v>46011.0</v>
      </c>
      <c r="B110" s="68" t="s">
        <v>86</v>
      </c>
      <c r="C110" s="74">
        <v>150.0</v>
      </c>
      <c r="D110" s="70" t="s">
        <v>56</v>
      </c>
      <c r="E110" s="101" t="str">
        <f t="shared" si="1"/>
        <v>diciembre</v>
      </c>
      <c r="F110" s="101">
        <f t="shared" si="2"/>
        <v>2025</v>
      </c>
      <c r="G110" s="97" t="s">
        <v>86</v>
      </c>
    </row>
    <row r="111" ht="22.5" customHeight="1">
      <c r="A111" s="69">
        <v>46012.0</v>
      </c>
      <c r="B111" s="68" t="s">
        <v>315</v>
      </c>
      <c r="C111" s="74">
        <v>700.0</v>
      </c>
      <c r="D111" s="70" t="s">
        <v>51</v>
      </c>
      <c r="E111" s="101" t="str">
        <f t="shared" si="1"/>
        <v>diciembre</v>
      </c>
      <c r="F111" s="101">
        <f t="shared" si="2"/>
        <v>2025</v>
      </c>
      <c r="G111" s="97" t="s">
        <v>85</v>
      </c>
    </row>
    <row r="112" ht="22.5" customHeight="1">
      <c r="A112" s="69">
        <v>46012.0</v>
      </c>
      <c r="B112" s="68" t="s">
        <v>323</v>
      </c>
      <c r="C112" s="74">
        <v>2200.0</v>
      </c>
      <c r="D112" s="70" t="s">
        <v>56</v>
      </c>
      <c r="E112" s="101" t="str">
        <f t="shared" si="1"/>
        <v>diciembre</v>
      </c>
      <c r="F112" s="101">
        <f t="shared" si="2"/>
        <v>2025</v>
      </c>
      <c r="G112" s="97" t="s">
        <v>80</v>
      </c>
    </row>
    <row r="113" ht="22.5" customHeight="1">
      <c r="A113" s="69">
        <v>46014.0</v>
      </c>
      <c r="B113" s="68" t="s">
        <v>301</v>
      </c>
      <c r="C113" s="74">
        <v>500.0</v>
      </c>
      <c r="D113" s="70" t="s">
        <v>46</v>
      </c>
      <c r="E113" s="101" t="str">
        <f t="shared" si="1"/>
        <v>diciembre</v>
      </c>
      <c r="F113" s="101">
        <f t="shared" si="2"/>
        <v>2025</v>
      </c>
      <c r="G113" s="97" t="s">
        <v>57</v>
      </c>
    </row>
    <row r="114" ht="22.5" customHeight="1">
      <c r="A114" s="69">
        <v>46018.0</v>
      </c>
      <c r="B114" s="68" t="s">
        <v>277</v>
      </c>
      <c r="C114" s="74">
        <v>500.0</v>
      </c>
      <c r="D114" s="70" t="s">
        <v>46</v>
      </c>
      <c r="E114" s="101" t="str">
        <f t="shared" si="1"/>
        <v>diciembre</v>
      </c>
      <c r="F114" s="101">
        <f t="shared" si="2"/>
        <v>2025</v>
      </c>
      <c r="G114" s="97" t="s">
        <v>57</v>
      </c>
    </row>
    <row r="115" ht="22.5" customHeight="1">
      <c r="A115" s="69">
        <v>46018.0</v>
      </c>
      <c r="B115" s="68" t="s">
        <v>301</v>
      </c>
      <c r="C115" s="74">
        <v>500.0</v>
      </c>
      <c r="D115" s="70" t="s">
        <v>46</v>
      </c>
      <c r="E115" s="101" t="str">
        <f t="shared" si="1"/>
        <v>diciembre</v>
      </c>
      <c r="F115" s="101">
        <f t="shared" si="2"/>
        <v>2025</v>
      </c>
      <c r="G115" s="97" t="s">
        <v>57</v>
      </c>
    </row>
    <row r="116" ht="22.5" customHeight="1">
      <c r="A116" s="69">
        <v>46018.0</v>
      </c>
      <c r="B116" s="68" t="s">
        <v>283</v>
      </c>
      <c r="C116" s="74">
        <v>65.0</v>
      </c>
      <c r="D116" s="70" t="s">
        <v>51</v>
      </c>
      <c r="E116" s="101" t="str">
        <f t="shared" si="1"/>
        <v>diciembre</v>
      </c>
      <c r="F116" s="101">
        <f t="shared" si="2"/>
        <v>2025</v>
      </c>
      <c r="G116" s="97" t="s">
        <v>47</v>
      </c>
    </row>
    <row r="117" ht="22.5" customHeight="1">
      <c r="A117" s="69">
        <v>46018.0</v>
      </c>
      <c r="B117" s="68" t="s">
        <v>282</v>
      </c>
      <c r="C117" s="74">
        <v>70.0</v>
      </c>
      <c r="D117" s="70" t="s">
        <v>51</v>
      </c>
      <c r="E117" s="101" t="str">
        <f t="shared" si="1"/>
        <v>diciembre</v>
      </c>
      <c r="F117" s="101">
        <f t="shared" si="2"/>
        <v>2025</v>
      </c>
      <c r="G117" s="97" t="s">
        <v>88</v>
      </c>
    </row>
    <row r="118" ht="22.5" customHeight="1">
      <c r="A118" s="69">
        <v>46019.0</v>
      </c>
      <c r="B118" s="68" t="s">
        <v>261</v>
      </c>
      <c r="C118" s="74">
        <v>500.0</v>
      </c>
      <c r="D118" s="70" t="s">
        <v>46</v>
      </c>
      <c r="E118" s="101" t="str">
        <f t="shared" si="1"/>
        <v>diciembre</v>
      </c>
      <c r="F118" s="101">
        <f t="shared" si="2"/>
        <v>2025</v>
      </c>
      <c r="G118" s="97" t="s">
        <v>57</v>
      </c>
    </row>
    <row r="119" ht="22.5" customHeight="1">
      <c r="A119" s="69">
        <v>46022.0</v>
      </c>
      <c r="B119" s="68" t="s">
        <v>261</v>
      </c>
      <c r="C119" s="74">
        <v>500.0</v>
      </c>
      <c r="D119" s="70" t="s">
        <v>46</v>
      </c>
      <c r="E119" s="101" t="str">
        <f t="shared" si="1"/>
        <v>diciembre</v>
      </c>
      <c r="F119" s="101">
        <f t="shared" si="2"/>
        <v>2025</v>
      </c>
      <c r="G119" s="97" t="s">
        <v>57</v>
      </c>
    </row>
    <row r="120" ht="22.5" customHeight="1">
      <c r="A120" s="69">
        <v>46022.0</v>
      </c>
      <c r="B120" s="68" t="s">
        <v>324</v>
      </c>
      <c r="C120" s="74">
        <v>4027.0</v>
      </c>
      <c r="D120" s="70" t="s">
        <v>46</v>
      </c>
      <c r="E120" s="101" t="str">
        <f t="shared" si="1"/>
        <v>diciembre</v>
      </c>
      <c r="F120" s="101">
        <f t="shared" si="2"/>
        <v>2025</v>
      </c>
      <c r="G120" s="97" t="s">
        <v>42</v>
      </c>
    </row>
    <row r="121" ht="22.5" customHeight="1">
      <c r="A121" s="91">
        <v>46028.0</v>
      </c>
      <c r="B121" s="102" t="s">
        <v>74</v>
      </c>
      <c r="C121" s="89">
        <v>934.0</v>
      </c>
      <c r="D121" s="77" t="s">
        <v>46</v>
      </c>
      <c r="E121" s="101" t="str">
        <f t="shared" si="1"/>
        <v>enero</v>
      </c>
      <c r="F121" s="101">
        <f t="shared" si="2"/>
        <v>2026</v>
      </c>
      <c r="G121" s="97" t="s">
        <v>74</v>
      </c>
    </row>
    <row r="122" ht="22.5" customHeight="1">
      <c r="A122" s="69">
        <v>46032.0</v>
      </c>
      <c r="B122" s="68" t="s">
        <v>267</v>
      </c>
      <c r="C122" s="74">
        <v>1509.0</v>
      </c>
      <c r="D122" s="70" t="s">
        <v>46</v>
      </c>
      <c r="E122" s="101" t="str">
        <f t="shared" si="1"/>
        <v>enero</v>
      </c>
      <c r="F122" s="101">
        <f t="shared" si="2"/>
        <v>2026</v>
      </c>
      <c r="G122" s="97" t="s">
        <v>57</v>
      </c>
    </row>
    <row r="123" ht="22.5" customHeight="1">
      <c r="A123" s="69">
        <v>46032.0</v>
      </c>
      <c r="B123" s="68" t="s">
        <v>275</v>
      </c>
      <c r="C123" s="74">
        <v>82.0</v>
      </c>
      <c r="D123" s="70" t="s">
        <v>46</v>
      </c>
      <c r="E123" s="101" t="str">
        <f t="shared" si="1"/>
        <v>enero</v>
      </c>
      <c r="F123" s="101">
        <f t="shared" si="2"/>
        <v>2026</v>
      </c>
      <c r="G123" s="97" t="s">
        <v>47</v>
      </c>
    </row>
    <row r="124" ht="22.5" customHeight="1">
      <c r="A124" s="69">
        <v>46032.0</v>
      </c>
      <c r="B124" s="68" t="s">
        <v>325</v>
      </c>
      <c r="C124" s="74">
        <v>355.0</v>
      </c>
      <c r="D124" s="70" t="s">
        <v>51</v>
      </c>
      <c r="E124" s="101" t="str">
        <f t="shared" si="1"/>
        <v>enero</v>
      </c>
      <c r="F124" s="101">
        <f t="shared" si="2"/>
        <v>2026</v>
      </c>
      <c r="G124" s="97" t="s">
        <v>47</v>
      </c>
    </row>
    <row r="125" ht="22.5" customHeight="1">
      <c r="A125" s="69">
        <v>46032.0</v>
      </c>
      <c r="B125" s="68" t="s">
        <v>280</v>
      </c>
      <c r="C125" s="74">
        <v>95.0</v>
      </c>
      <c r="D125" s="70" t="s">
        <v>56</v>
      </c>
      <c r="E125" s="101" t="str">
        <f t="shared" si="1"/>
        <v>enero</v>
      </c>
      <c r="F125" s="101">
        <f t="shared" si="2"/>
        <v>2026</v>
      </c>
      <c r="G125" s="97" t="s">
        <v>42</v>
      </c>
    </row>
    <row r="126" ht="22.5" customHeight="1">
      <c r="A126" s="69">
        <v>46039.0</v>
      </c>
      <c r="B126" s="68" t="s">
        <v>326</v>
      </c>
      <c r="C126" s="74">
        <v>150.0</v>
      </c>
      <c r="D126" s="70" t="s">
        <v>46</v>
      </c>
      <c r="E126" s="101" t="str">
        <f t="shared" si="1"/>
        <v>enero</v>
      </c>
      <c r="F126" s="101">
        <f t="shared" si="2"/>
        <v>2026</v>
      </c>
      <c r="G126" s="97" t="s">
        <v>86</v>
      </c>
    </row>
    <row r="127" ht="22.5" customHeight="1">
      <c r="A127" s="69">
        <v>46039.0</v>
      </c>
      <c r="B127" s="68" t="s">
        <v>287</v>
      </c>
      <c r="C127" s="74">
        <v>400.0</v>
      </c>
      <c r="D127" s="70" t="s">
        <v>46</v>
      </c>
      <c r="E127" s="101" t="str">
        <f t="shared" si="1"/>
        <v>enero</v>
      </c>
      <c r="F127" s="101">
        <f t="shared" si="2"/>
        <v>2026</v>
      </c>
      <c r="G127" s="97" t="s">
        <v>85</v>
      </c>
    </row>
    <row r="128" ht="22.5" customHeight="1">
      <c r="A128" s="69">
        <v>46039.0</v>
      </c>
      <c r="B128" s="68" t="s">
        <v>299</v>
      </c>
      <c r="C128" s="74">
        <v>300.0</v>
      </c>
      <c r="D128" s="70" t="s">
        <v>46</v>
      </c>
      <c r="E128" s="101" t="str">
        <f t="shared" si="1"/>
        <v>enero</v>
      </c>
      <c r="F128" s="101">
        <f t="shared" si="2"/>
        <v>2026</v>
      </c>
      <c r="G128" s="97" t="s">
        <v>57</v>
      </c>
    </row>
    <row r="129" ht="22.5" customHeight="1">
      <c r="A129" s="69">
        <v>46039.0</v>
      </c>
      <c r="B129" s="68" t="s">
        <v>275</v>
      </c>
      <c r="C129" s="74">
        <v>100.0</v>
      </c>
      <c r="D129" s="70" t="s">
        <v>56</v>
      </c>
      <c r="E129" s="101" t="str">
        <f t="shared" si="1"/>
        <v>enero</v>
      </c>
      <c r="F129" s="101">
        <f t="shared" si="2"/>
        <v>2026</v>
      </c>
      <c r="G129" s="97" t="s">
        <v>47</v>
      </c>
    </row>
    <row r="130" ht="22.5" customHeight="1">
      <c r="A130" s="69">
        <v>46039.0</v>
      </c>
      <c r="B130" s="68" t="s">
        <v>327</v>
      </c>
      <c r="C130" s="74">
        <v>662.0</v>
      </c>
      <c r="D130" s="70" t="s">
        <v>51</v>
      </c>
      <c r="E130" s="101" t="str">
        <f t="shared" si="1"/>
        <v>enero</v>
      </c>
      <c r="F130" s="101">
        <f t="shared" si="2"/>
        <v>2026</v>
      </c>
      <c r="G130" s="97" t="s">
        <v>42</v>
      </c>
    </row>
    <row r="131" ht="22.5" customHeight="1">
      <c r="A131" s="69">
        <v>46039.0</v>
      </c>
      <c r="B131" s="68" t="s">
        <v>328</v>
      </c>
      <c r="C131" s="74">
        <v>6300.0</v>
      </c>
      <c r="D131" s="70" t="s">
        <v>56</v>
      </c>
      <c r="E131" s="101" t="str">
        <f t="shared" si="1"/>
        <v>enero</v>
      </c>
      <c r="F131" s="101">
        <f t="shared" si="2"/>
        <v>2026</v>
      </c>
      <c r="G131" s="97" t="s">
        <v>84</v>
      </c>
    </row>
    <row r="132" ht="22.5" customHeight="1">
      <c r="A132" s="69">
        <v>46039.0</v>
      </c>
      <c r="B132" s="68" t="s">
        <v>329</v>
      </c>
      <c r="C132" s="74">
        <v>1115.0</v>
      </c>
      <c r="D132" s="70" t="s">
        <v>46</v>
      </c>
      <c r="E132" s="101" t="str">
        <f t="shared" si="1"/>
        <v>enero</v>
      </c>
      <c r="F132" s="101">
        <f t="shared" si="2"/>
        <v>2026</v>
      </c>
      <c r="G132" s="97" t="s">
        <v>62</v>
      </c>
    </row>
    <row r="133" ht="22.5" customHeight="1">
      <c r="A133" s="69">
        <v>46039.0</v>
      </c>
      <c r="B133" s="68" t="s">
        <v>330</v>
      </c>
      <c r="C133" s="74">
        <v>800.0</v>
      </c>
      <c r="D133" s="70" t="s">
        <v>56</v>
      </c>
      <c r="E133" s="101" t="str">
        <f t="shared" si="1"/>
        <v>enero</v>
      </c>
      <c r="F133" s="101">
        <f t="shared" si="2"/>
        <v>2026</v>
      </c>
      <c r="G133" s="97" t="s">
        <v>83</v>
      </c>
    </row>
    <row r="134" ht="22.5" customHeight="1">
      <c r="A134" s="69">
        <v>46039.0</v>
      </c>
      <c r="B134" s="68" t="s">
        <v>331</v>
      </c>
      <c r="C134" s="74">
        <v>2299.0</v>
      </c>
      <c r="D134" s="70" t="s">
        <v>56</v>
      </c>
      <c r="E134" s="101" t="str">
        <f t="shared" si="1"/>
        <v>enero</v>
      </c>
      <c r="F134" s="101">
        <f t="shared" si="2"/>
        <v>2026</v>
      </c>
      <c r="G134" s="97" t="s">
        <v>67</v>
      </c>
    </row>
    <row r="135" ht="22.5" customHeight="1">
      <c r="A135" s="69">
        <v>46039.0</v>
      </c>
      <c r="B135" s="68" t="s">
        <v>332</v>
      </c>
      <c r="C135" s="74">
        <v>1500.0</v>
      </c>
      <c r="D135" s="70" t="s">
        <v>56</v>
      </c>
      <c r="E135" s="101" t="str">
        <f t="shared" si="1"/>
        <v>enero</v>
      </c>
      <c r="F135" s="101">
        <f t="shared" si="2"/>
        <v>2026</v>
      </c>
      <c r="G135" s="97" t="s">
        <v>84</v>
      </c>
    </row>
    <row r="136" ht="22.5" customHeight="1">
      <c r="A136" s="69">
        <v>46039.0</v>
      </c>
      <c r="B136" s="68" t="s">
        <v>300</v>
      </c>
      <c r="C136" s="74">
        <v>383.0</v>
      </c>
      <c r="D136" s="70" t="s">
        <v>51</v>
      </c>
      <c r="E136" s="101" t="str">
        <f t="shared" si="1"/>
        <v>enero</v>
      </c>
      <c r="F136" s="101">
        <f t="shared" si="2"/>
        <v>2026</v>
      </c>
      <c r="G136" s="97" t="s">
        <v>88</v>
      </c>
    </row>
    <row r="137" ht="22.5" customHeight="1">
      <c r="A137" s="69">
        <v>46040.0</v>
      </c>
      <c r="B137" s="68" t="s">
        <v>261</v>
      </c>
      <c r="C137" s="74">
        <v>500.0</v>
      </c>
      <c r="D137" s="70" t="s">
        <v>46</v>
      </c>
      <c r="E137" s="101" t="str">
        <f t="shared" si="1"/>
        <v>enero</v>
      </c>
      <c r="F137" s="101">
        <f t="shared" si="2"/>
        <v>2026</v>
      </c>
      <c r="G137" s="97" t="s">
        <v>57</v>
      </c>
    </row>
    <row r="138" ht="22.5" customHeight="1">
      <c r="A138" s="69">
        <v>46046.0</v>
      </c>
      <c r="B138" s="68" t="s">
        <v>333</v>
      </c>
      <c r="C138" s="74">
        <v>80.0</v>
      </c>
      <c r="D138" s="70" t="s">
        <v>46</v>
      </c>
      <c r="E138" s="101" t="str">
        <f t="shared" si="1"/>
        <v>enero</v>
      </c>
      <c r="F138" s="101">
        <f t="shared" si="2"/>
        <v>2026</v>
      </c>
      <c r="G138" s="97" t="s">
        <v>87</v>
      </c>
    </row>
    <row r="139" ht="22.5" customHeight="1">
      <c r="A139" s="69">
        <v>46046.0</v>
      </c>
      <c r="B139" s="68" t="s">
        <v>274</v>
      </c>
      <c r="C139" s="74">
        <v>950.0</v>
      </c>
      <c r="D139" s="70" t="s">
        <v>46</v>
      </c>
      <c r="E139" s="101" t="str">
        <f t="shared" si="1"/>
        <v>enero</v>
      </c>
      <c r="F139" s="101">
        <f t="shared" si="2"/>
        <v>2026</v>
      </c>
      <c r="G139" s="97" t="s">
        <v>57</v>
      </c>
    </row>
    <row r="140" ht="22.5" customHeight="1">
      <c r="A140" s="69">
        <v>46046.0</v>
      </c>
      <c r="B140" s="68" t="s">
        <v>334</v>
      </c>
      <c r="C140" s="74">
        <v>825.0</v>
      </c>
      <c r="D140" s="70" t="s">
        <v>46</v>
      </c>
      <c r="E140" s="101" t="str">
        <f t="shared" si="1"/>
        <v>enero</v>
      </c>
      <c r="F140" s="101">
        <f t="shared" si="2"/>
        <v>2026</v>
      </c>
      <c r="G140" s="97" t="s">
        <v>85</v>
      </c>
    </row>
    <row r="141" ht="22.5" customHeight="1">
      <c r="A141" s="69">
        <v>46046.0</v>
      </c>
      <c r="B141" s="68" t="s">
        <v>335</v>
      </c>
      <c r="C141" s="74">
        <v>2300.0</v>
      </c>
      <c r="D141" s="70" t="s">
        <v>56</v>
      </c>
      <c r="E141" s="101" t="str">
        <f t="shared" si="1"/>
        <v>enero</v>
      </c>
      <c r="F141" s="101">
        <f t="shared" si="2"/>
        <v>2026</v>
      </c>
      <c r="G141" s="97" t="s">
        <v>67</v>
      </c>
    </row>
    <row r="142" ht="22.5" customHeight="1">
      <c r="A142" s="69">
        <v>46046.0</v>
      </c>
      <c r="B142" s="68" t="s">
        <v>86</v>
      </c>
      <c r="C142" s="74">
        <v>150.0</v>
      </c>
      <c r="D142" s="70" t="s">
        <v>56</v>
      </c>
      <c r="E142" s="101" t="str">
        <f t="shared" si="1"/>
        <v>enero</v>
      </c>
      <c r="F142" s="101">
        <f t="shared" si="2"/>
        <v>2026</v>
      </c>
      <c r="G142" s="97" t="s">
        <v>86</v>
      </c>
    </row>
    <row r="143" ht="22.5" customHeight="1">
      <c r="A143" s="69">
        <v>46046.0</v>
      </c>
      <c r="B143" s="68" t="s">
        <v>74</v>
      </c>
      <c r="C143" s="74">
        <v>933.0</v>
      </c>
      <c r="D143" s="70" t="s">
        <v>46</v>
      </c>
      <c r="E143" s="101" t="str">
        <f t="shared" si="1"/>
        <v>enero</v>
      </c>
      <c r="F143" s="101">
        <f t="shared" si="2"/>
        <v>2026</v>
      </c>
      <c r="G143" s="97" t="s">
        <v>74</v>
      </c>
    </row>
    <row r="144" ht="22.5" customHeight="1">
      <c r="A144" s="69">
        <v>46046.0</v>
      </c>
      <c r="B144" s="68" t="s">
        <v>336</v>
      </c>
      <c r="C144" s="74">
        <v>5900.0</v>
      </c>
      <c r="D144" s="70" t="s">
        <v>46</v>
      </c>
      <c r="E144" s="101" t="str">
        <f t="shared" si="1"/>
        <v>enero</v>
      </c>
      <c r="F144" s="101">
        <f t="shared" si="2"/>
        <v>2026</v>
      </c>
      <c r="G144" s="97" t="s">
        <v>84</v>
      </c>
    </row>
    <row r="145" ht="22.5" customHeight="1">
      <c r="A145" s="69">
        <v>46053.0</v>
      </c>
      <c r="B145" s="68" t="s">
        <v>337</v>
      </c>
      <c r="C145" s="74">
        <v>2299.0</v>
      </c>
      <c r="D145" s="70" t="s">
        <v>46</v>
      </c>
      <c r="E145" s="101" t="str">
        <f t="shared" si="1"/>
        <v>enero</v>
      </c>
      <c r="F145" s="101">
        <f t="shared" si="2"/>
        <v>2026</v>
      </c>
      <c r="G145" s="97" t="s">
        <v>67</v>
      </c>
    </row>
    <row r="146" ht="22.5" customHeight="1">
      <c r="A146" s="69">
        <v>46053.0</v>
      </c>
      <c r="B146" s="68" t="s">
        <v>277</v>
      </c>
      <c r="C146" s="74">
        <v>500.0</v>
      </c>
      <c r="D146" s="70" t="s">
        <v>51</v>
      </c>
      <c r="E146" s="101" t="str">
        <f t="shared" si="1"/>
        <v>enero</v>
      </c>
      <c r="F146" s="101">
        <f t="shared" si="2"/>
        <v>2026</v>
      </c>
      <c r="G146" s="97" t="s">
        <v>57</v>
      </c>
    </row>
    <row r="147" ht="22.5" customHeight="1">
      <c r="A147" s="69">
        <v>46054.0</v>
      </c>
      <c r="B147" s="68" t="s">
        <v>338</v>
      </c>
      <c r="C147" s="74">
        <v>1000.0</v>
      </c>
      <c r="D147" s="70" t="s">
        <v>56</v>
      </c>
      <c r="E147" s="101" t="str">
        <f t="shared" si="1"/>
        <v>febrero</v>
      </c>
      <c r="F147" s="101">
        <f t="shared" si="2"/>
        <v>2026</v>
      </c>
      <c r="G147" s="97" t="s">
        <v>85</v>
      </c>
    </row>
    <row r="148" ht="22.5" customHeight="1">
      <c r="A148" s="69">
        <v>46054.0</v>
      </c>
      <c r="B148" s="68" t="s">
        <v>339</v>
      </c>
      <c r="C148" s="74">
        <v>58.0</v>
      </c>
      <c r="D148" s="70" t="s">
        <v>56</v>
      </c>
      <c r="E148" s="101" t="str">
        <f t="shared" si="1"/>
        <v>febrero</v>
      </c>
      <c r="F148" s="101">
        <f t="shared" si="2"/>
        <v>2026</v>
      </c>
      <c r="G148" s="97" t="s">
        <v>42</v>
      </c>
    </row>
    <row r="149" ht="22.5" customHeight="1">
      <c r="A149" s="69">
        <v>46054.0</v>
      </c>
      <c r="B149" s="68" t="s">
        <v>275</v>
      </c>
      <c r="C149" s="74">
        <v>28.0</v>
      </c>
      <c r="D149" s="70" t="s">
        <v>56</v>
      </c>
      <c r="E149" s="101" t="str">
        <f t="shared" si="1"/>
        <v>febrero</v>
      </c>
      <c r="F149" s="101">
        <f t="shared" si="2"/>
        <v>2026</v>
      </c>
      <c r="G149" s="97" t="s">
        <v>47</v>
      </c>
    </row>
    <row r="150" ht="22.5" customHeight="1">
      <c r="A150" s="69">
        <v>46054.0</v>
      </c>
      <c r="B150" s="68" t="s">
        <v>282</v>
      </c>
      <c r="C150" s="74">
        <v>350.0</v>
      </c>
      <c r="D150" s="70" t="s">
        <v>56</v>
      </c>
      <c r="E150" s="101" t="str">
        <f t="shared" si="1"/>
        <v>febrero</v>
      </c>
      <c r="F150" s="101">
        <f t="shared" si="2"/>
        <v>2026</v>
      </c>
      <c r="G150" s="97" t="s">
        <v>88</v>
      </c>
    </row>
    <row r="151" ht="22.5" customHeight="1">
      <c r="A151" s="69">
        <v>46054.0</v>
      </c>
      <c r="B151" s="68" t="s">
        <v>281</v>
      </c>
      <c r="C151" s="74">
        <v>1000.0</v>
      </c>
      <c r="D151" s="70" t="s">
        <v>46</v>
      </c>
      <c r="E151" s="101" t="str">
        <f t="shared" si="1"/>
        <v>febrero</v>
      </c>
      <c r="F151" s="101">
        <f t="shared" si="2"/>
        <v>2026</v>
      </c>
      <c r="G151" s="97" t="s">
        <v>77</v>
      </c>
    </row>
    <row r="152" ht="22.5" customHeight="1">
      <c r="A152" s="69">
        <v>46060.0</v>
      </c>
      <c r="B152" s="68" t="s">
        <v>86</v>
      </c>
      <c r="C152" s="74">
        <v>150.0</v>
      </c>
      <c r="D152" s="70" t="s">
        <v>46</v>
      </c>
      <c r="E152" s="101" t="str">
        <f t="shared" si="1"/>
        <v>febrero</v>
      </c>
      <c r="F152" s="101">
        <f t="shared" si="2"/>
        <v>2026</v>
      </c>
      <c r="G152" s="97" t="s">
        <v>86</v>
      </c>
    </row>
    <row r="153" ht="22.5" customHeight="1">
      <c r="A153" s="69">
        <v>46060.0</v>
      </c>
      <c r="B153" s="68" t="s">
        <v>287</v>
      </c>
      <c r="C153" s="74">
        <v>400.0</v>
      </c>
      <c r="D153" s="70" t="s">
        <v>46</v>
      </c>
      <c r="E153" s="101" t="str">
        <f t="shared" si="1"/>
        <v>febrero</v>
      </c>
      <c r="F153" s="101">
        <f t="shared" si="2"/>
        <v>2026</v>
      </c>
      <c r="G153" s="97" t="s">
        <v>67</v>
      </c>
    </row>
    <row r="154" ht="22.5" customHeight="1">
      <c r="A154" s="69">
        <v>46060.0</v>
      </c>
      <c r="B154" s="68" t="s">
        <v>274</v>
      </c>
      <c r="C154" s="74">
        <v>1050.0</v>
      </c>
      <c r="D154" s="70" t="s">
        <v>56</v>
      </c>
      <c r="E154" s="101" t="str">
        <f t="shared" si="1"/>
        <v>febrero</v>
      </c>
      <c r="F154" s="101">
        <f t="shared" si="2"/>
        <v>2026</v>
      </c>
      <c r="G154" s="97" t="s">
        <v>57</v>
      </c>
    </row>
    <row r="155" ht="22.5" customHeight="1">
      <c r="A155" s="69">
        <v>46066.0</v>
      </c>
      <c r="B155" s="68" t="s">
        <v>340</v>
      </c>
      <c r="C155" s="74">
        <v>900.0</v>
      </c>
      <c r="D155" s="70" t="s">
        <v>56</v>
      </c>
      <c r="E155" s="101" t="str">
        <f t="shared" si="1"/>
        <v>febrero</v>
      </c>
      <c r="F155" s="101">
        <f t="shared" si="2"/>
        <v>2026</v>
      </c>
      <c r="G155" s="97" t="s">
        <v>77</v>
      </c>
    </row>
    <row r="156" ht="22.5" customHeight="1">
      <c r="A156" s="69">
        <v>46066.0</v>
      </c>
      <c r="B156" s="68" t="s">
        <v>341</v>
      </c>
      <c r="C156" s="74">
        <v>1000.0</v>
      </c>
      <c r="D156" s="70" t="s">
        <v>46</v>
      </c>
      <c r="E156" s="101" t="str">
        <f t="shared" si="1"/>
        <v>febrero</v>
      </c>
      <c r="F156" s="101">
        <f t="shared" si="2"/>
        <v>2026</v>
      </c>
      <c r="G156" s="97" t="s">
        <v>85</v>
      </c>
    </row>
    <row r="157" ht="22.5" customHeight="1">
      <c r="A157" s="69">
        <v>46066.0</v>
      </c>
      <c r="B157" s="68" t="s">
        <v>342</v>
      </c>
      <c r="C157" s="74">
        <v>650.0</v>
      </c>
      <c r="D157" s="70" t="s">
        <v>46</v>
      </c>
      <c r="E157" s="101" t="str">
        <f t="shared" si="1"/>
        <v>febrero</v>
      </c>
      <c r="F157" s="101">
        <f t="shared" si="2"/>
        <v>2026</v>
      </c>
      <c r="G157" s="97" t="s">
        <v>85</v>
      </c>
    </row>
    <row r="158" ht="22.5" customHeight="1">
      <c r="A158" s="69">
        <v>46067.0</v>
      </c>
      <c r="B158" s="68" t="s">
        <v>338</v>
      </c>
      <c r="C158" s="74">
        <v>1000.0</v>
      </c>
      <c r="D158" s="70" t="s">
        <v>46</v>
      </c>
      <c r="E158" s="101" t="str">
        <f t="shared" si="1"/>
        <v>febrero</v>
      </c>
      <c r="F158" s="101">
        <f t="shared" si="2"/>
        <v>2026</v>
      </c>
      <c r="G158" s="97" t="s">
        <v>85</v>
      </c>
    </row>
    <row r="159" ht="22.5" customHeight="1">
      <c r="A159" s="69">
        <v>46067.0</v>
      </c>
      <c r="B159" s="68" t="s">
        <v>261</v>
      </c>
      <c r="C159" s="74">
        <v>500.0</v>
      </c>
      <c r="D159" s="70" t="s">
        <v>51</v>
      </c>
      <c r="E159" s="101" t="str">
        <f t="shared" si="1"/>
        <v>febrero</v>
      </c>
      <c r="F159" s="101">
        <f t="shared" si="2"/>
        <v>2026</v>
      </c>
      <c r="G159" s="97" t="s">
        <v>57</v>
      </c>
    </row>
    <row r="160" ht="22.5" customHeight="1">
      <c r="A160" s="69">
        <v>46068.0</v>
      </c>
      <c r="B160" s="68" t="s">
        <v>341</v>
      </c>
      <c r="C160" s="74">
        <v>1000.0</v>
      </c>
      <c r="D160" s="70" t="s">
        <v>46</v>
      </c>
      <c r="E160" s="101" t="str">
        <f t="shared" si="1"/>
        <v>febrero</v>
      </c>
      <c r="F160" s="101">
        <f t="shared" si="2"/>
        <v>2026</v>
      </c>
      <c r="G160" s="97" t="s">
        <v>85</v>
      </c>
    </row>
    <row r="161" ht="22.5" customHeight="1">
      <c r="A161" s="69">
        <v>46068.0</v>
      </c>
      <c r="B161" s="68" t="s">
        <v>274</v>
      </c>
      <c r="C161" s="74">
        <v>500.0</v>
      </c>
      <c r="D161" s="70" t="s">
        <v>46</v>
      </c>
      <c r="E161" s="101" t="str">
        <f t="shared" si="1"/>
        <v>febrero</v>
      </c>
      <c r="F161" s="101">
        <f t="shared" si="2"/>
        <v>2026</v>
      </c>
      <c r="G161" s="97" t="s">
        <v>57</v>
      </c>
    </row>
    <row r="162" ht="22.5" customHeight="1">
      <c r="A162" s="69">
        <v>46075.0</v>
      </c>
      <c r="B162" s="68" t="s">
        <v>300</v>
      </c>
      <c r="C162" s="74">
        <v>383.0</v>
      </c>
      <c r="D162" s="70" t="s">
        <v>51</v>
      </c>
      <c r="E162" s="101" t="str">
        <f t="shared" si="1"/>
        <v>febrero</v>
      </c>
      <c r="F162" s="101">
        <f t="shared" si="2"/>
        <v>2026</v>
      </c>
      <c r="G162" s="97" t="s">
        <v>88</v>
      </c>
    </row>
    <row r="163" ht="22.5" customHeight="1">
      <c r="A163" s="69">
        <v>46075.0</v>
      </c>
      <c r="B163" s="68" t="s">
        <v>343</v>
      </c>
      <c r="C163" s="74">
        <v>1300.0</v>
      </c>
      <c r="D163" s="70" t="s">
        <v>51</v>
      </c>
      <c r="E163" s="101" t="str">
        <f t="shared" si="1"/>
        <v>febrero</v>
      </c>
      <c r="F163" s="101">
        <f t="shared" si="2"/>
        <v>2026</v>
      </c>
      <c r="G163" s="97" t="s">
        <v>85</v>
      </c>
    </row>
    <row r="164" ht="22.5" customHeight="1">
      <c r="A164" s="69">
        <v>46076.0</v>
      </c>
      <c r="B164" s="68" t="s">
        <v>344</v>
      </c>
      <c r="C164" s="74">
        <v>1070.0</v>
      </c>
      <c r="D164" s="70" t="s">
        <v>46</v>
      </c>
      <c r="E164" s="101" t="str">
        <f t="shared" si="1"/>
        <v>febrero</v>
      </c>
      <c r="F164" s="101">
        <f t="shared" si="2"/>
        <v>2026</v>
      </c>
      <c r="G164" s="97" t="s">
        <v>57</v>
      </c>
    </row>
    <row r="165" ht="22.5" customHeight="1">
      <c r="A165" s="69">
        <v>46075.0</v>
      </c>
      <c r="B165" s="68" t="s">
        <v>345</v>
      </c>
      <c r="C165" s="74">
        <v>750.0</v>
      </c>
      <c r="D165" s="70" t="s">
        <v>46</v>
      </c>
      <c r="E165" s="101" t="str">
        <f t="shared" si="1"/>
        <v>febrero</v>
      </c>
      <c r="F165" s="101">
        <f t="shared" si="2"/>
        <v>2026</v>
      </c>
      <c r="G165" s="97" t="s">
        <v>88</v>
      </c>
    </row>
    <row r="166" ht="22.5" customHeight="1">
      <c r="A166" s="69">
        <v>46075.0</v>
      </c>
      <c r="B166" s="68" t="s">
        <v>346</v>
      </c>
      <c r="C166" s="74">
        <v>180.0</v>
      </c>
      <c r="D166" s="70" t="s">
        <v>46</v>
      </c>
      <c r="E166" s="101" t="str">
        <f t="shared" si="1"/>
        <v>febrero</v>
      </c>
      <c r="F166" s="101">
        <f t="shared" si="2"/>
        <v>2026</v>
      </c>
      <c r="G166" s="97" t="s">
        <v>87</v>
      </c>
    </row>
    <row r="167" ht="22.5" customHeight="1">
      <c r="A167" s="69">
        <v>46075.0</v>
      </c>
      <c r="B167" s="68" t="s">
        <v>347</v>
      </c>
      <c r="C167" s="74">
        <v>150.0</v>
      </c>
      <c r="D167" s="70" t="s">
        <v>56</v>
      </c>
      <c r="E167" s="101" t="str">
        <f t="shared" si="1"/>
        <v>febrero</v>
      </c>
      <c r="F167" s="101">
        <f t="shared" si="2"/>
        <v>2026</v>
      </c>
      <c r="G167" s="97" t="s">
        <v>88</v>
      </c>
    </row>
    <row r="168" ht="22.5" customHeight="1">
      <c r="A168" s="69">
        <v>46082.0</v>
      </c>
      <c r="B168" s="68" t="s">
        <v>344</v>
      </c>
      <c r="C168" s="74">
        <v>405.0</v>
      </c>
      <c r="D168" s="70" t="s">
        <v>56</v>
      </c>
      <c r="E168" s="101" t="str">
        <f t="shared" si="1"/>
        <v>marzo</v>
      </c>
      <c r="F168" s="101">
        <f t="shared" si="2"/>
        <v>2026</v>
      </c>
      <c r="G168" s="97" t="s">
        <v>57</v>
      </c>
    </row>
    <row r="169" ht="22.5" customHeight="1">
      <c r="A169" s="69">
        <v>46082.0</v>
      </c>
      <c r="B169" s="68" t="s">
        <v>348</v>
      </c>
      <c r="C169" s="74">
        <v>500.0</v>
      </c>
      <c r="D169" s="70" t="s">
        <v>56</v>
      </c>
      <c r="E169" s="101" t="str">
        <f t="shared" si="1"/>
        <v>marzo</v>
      </c>
      <c r="F169" s="101">
        <f t="shared" si="2"/>
        <v>2026</v>
      </c>
      <c r="G169" s="97" t="s">
        <v>57</v>
      </c>
    </row>
    <row r="170" ht="22.5" customHeight="1">
      <c r="A170" s="69">
        <v>46082.0</v>
      </c>
      <c r="B170" s="68" t="s">
        <v>349</v>
      </c>
      <c r="C170" s="74">
        <v>191.0</v>
      </c>
      <c r="D170" s="70" t="s">
        <v>46</v>
      </c>
      <c r="E170" s="101" t="str">
        <f t="shared" si="1"/>
        <v>marzo</v>
      </c>
      <c r="F170" s="101">
        <f t="shared" si="2"/>
        <v>2026</v>
      </c>
      <c r="G170" s="97" t="s">
        <v>87</v>
      </c>
    </row>
    <row r="171" ht="22.5" customHeight="1">
      <c r="A171" s="69">
        <v>46082.0</v>
      </c>
      <c r="B171" s="68" t="s">
        <v>350</v>
      </c>
      <c r="C171" s="74">
        <v>721.0</v>
      </c>
      <c r="D171" s="70" t="s">
        <v>46</v>
      </c>
      <c r="E171" s="101" t="str">
        <f t="shared" si="1"/>
        <v>marzo</v>
      </c>
      <c r="F171" s="101">
        <f t="shared" si="2"/>
        <v>2026</v>
      </c>
      <c r="G171" s="97" t="s">
        <v>88</v>
      </c>
    </row>
    <row r="172" ht="22.5" customHeight="1">
      <c r="A172" s="69">
        <v>46082.0</v>
      </c>
      <c r="B172" s="68" t="s">
        <v>74</v>
      </c>
      <c r="C172" s="74">
        <v>900.0</v>
      </c>
      <c r="D172" s="70" t="s">
        <v>46</v>
      </c>
      <c r="E172" s="101" t="str">
        <f t="shared" si="1"/>
        <v>marzo</v>
      </c>
      <c r="F172" s="101">
        <f t="shared" si="2"/>
        <v>2026</v>
      </c>
      <c r="G172" s="97" t="s">
        <v>74</v>
      </c>
    </row>
    <row r="173" ht="22.5" customHeight="1">
      <c r="A173" s="69">
        <v>46082.0</v>
      </c>
      <c r="B173" s="68" t="s">
        <v>351</v>
      </c>
      <c r="C173" s="74">
        <v>404.0</v>
      </c>
      <c r="D173" s="70" t="s">
        <v>56</v>
      </c>
      <c r="E173" s="101" t="str">
        <f t="shared" si="1"/>
        <v>marzo</v>
      </c>
      <c r="F173" s="101">
        <f t="shared" si="2"/>
        <v>2026</v>
      </c>
      <c r="G173" s="97" t="s">
        <v>88</v>
      </c>
    </row>
    <row r="174" ht="22.5" customHeight="1">
      <c r="A174" s="69">
        <v>46082.0</v>
      </c>
      <c r="B174" s="68" t="s">
        <v>352</v>
      </c>
      <c r="C174" s="74">
        <v>50.0</v>
      </c>
      <c r="D174" s="70" t="s">
        <v>51</v>
      </c>
      <c r="E174" s="101" t="str">
        <f t="shared" si="1"/>
        <v>marzo</v>
      </c>
      <c r="F174" s="101">
        <f t="shared" si="2"/>
        <v>2026</v>
      </c>
      <c r="G174" s="97" t="s">
        <v>87</v>
      </c>
    </row>
    <row r="175" ht="22.5" customHeight="1">
      <c r="A175" s="83"/>
      <c r="C175" s="81"/>
      <c r="D175" s="103"/>
      <c r="G175" s="104"/>
    </row>
    <row r="176">
      <c r="A176" s="86"/>
      <c r="C176" s="46"/>
    </row>
    <row r="177">
      <c r="A177" s="86"/>
      <c r="C177" s="46"/>
    </row>
    <row r="178">
      <c r="A178" s="86"/>
      <c r="C178" s="46"/>
    </row>
    <row r="179">
      <c r="A179" s="86"/>
      <c r="C179" s="46"/>
    </row>
    <row r="180">
      <c r="A180" s="86"/>
      <c r="C180" s="46"/>
    </row>
    <row r="181">
      <c r="A181" s="86"/>
      <c r="C181" s="46"/>
    </row>
    <row r="182">
      <c r="A182" s="86"/>
      <c r="C182" s="46"/>
    </row>
    <row r="183">
      <c r="A183" s="86"/>
      <c r="C183" s="46"/>
    </row>
    <row r="184">
      <c r="A184" s="86"/>
      <c r="C184" s="46"/>
    </row>
    <row r="185">
      <c r="A185" s="86"/>
      <c r="C185" s="46"/>
    </row>
    <row r="186">
      <c r="A186" s="86"/>
      <c r="C186" s="46"/>
    </row>
    <row r="187">
      <c r="A187" s="86"/>
      <c r="C187" s="46"/>
    </row>
    <row r="188">
      <c r="A188" s="86"/>
      <c r="C188" s="46"/>
    </row>
    <row r="189">
      <c r="A189" s="86"/>
      <c r="C189" s="46"/>
    </row>
    <row r="190">
      <c r="A190" s="86"/>
      <c r="C190" s="46"/>
    </row>
    <row r="191">
      <c r="A191" s="86"/>
      <c r="C191" s="46"/>
    </row>
    <row r="192">
      <c r="A192" s="86"/>
      <c r="C192" s="46"/>
    </row>
    <row r="193">
      <c r="A193" s="86"/>
      <c r="C193" s="46"/>
    </row>
    <row r="194">
      <c r="A194" s="86"/>
      <c r="C194" s="46"/>
    </row>
    <row r="195">
      <c r="A195" s="86"/>
      <c r="C195" s="46"/>
    </row>
    <row r="196">
      <c r="A196" s="86"/>
      <c r="C196" s="46"/>
    </row>
    <row r="197">
      <c r="A197" s="86"/>
      <c r="C197" s="46"/>
    </row>
    <row r="198">
      <c r="A198" s="86"/>
      <c r="C198" s="46"/>
    </row>
    <row r="199">
      <c r="A199" s="86"/>
      <c r="C199" s="46"/>
    </row>
    <row r="200">
      <c r="A200" s="86"/>
      <c r="C200" s="46"/>
    </row>
    <row r="201">
      <c r="A201" s="86"/>
      <c r="C201" s="46"/>
    </row>
    <row r="202">
      <c r="A202" s="86"/>
      <c r="C202" s="46"/>
    </row>
    <row r="203">
      <c r="A203" s="86"/>
      <c r="C203" s="46"/>
    </row>
    <row r="204">
      <c r="A204" s="86"/>
      <c r="C204" s="46"/>
    </row>
    <row r="205">
      <c r="A205" s="86"/>
      <c r="C205" s="46"/>
    </row>
    <row r="206">
      <c r="A206" s="86"/>
      <c r="C206" s="46"/>
    </row>
    <row r="207">
      <c r="A207" s="86"/>
      <c r="C207" s="46"/>
    </row>
    <row r="208">
      <c r="A208" s="86"/>
      <c r="C208" s="46"/>
    </row>
    <row r="209">
      <c r="A209" s="86"/>
      <c r="C209" s="46"/>
    </row>
    <row r="210">
      <c r="A210" s="86"/>
      <c r="C210" s="46"/>
    </row>
    <row r="211">
      <c r="A211" s="86"/>
      <c r="C211" s="46"/>
    </row>
    <row r="212">
      <c r="A212" s="86"/>
      <c r="C212" s="46"/>
    </row>
    <row r="213">
      <c r="A213" s="86"/>
      <c r="C213" s="46"/>
    </row>
    <row r="214">
      <c r="A214" s="86"/>
      <c r="C214" s="46"/>
    </row>
    <row r="215">
      <c r="A215" s="86"/>
      <c r="C215" s="46"/>
    </row>
    <row r="216">
      <c r="A216" s="86"/>
      <c r="C216" s="46"/>
    </row>
    <row r="217">
      <c r="A217" s="86"/>
      <c r="C217" s="46"/>
    </row>
    <row r="218">
      <c r="A218" s="86"/>
      <c r="C218" s="46"/>
    </row>
    <row r="219">
      <c r="A219" s="86"/>
      <c r="C219" s="46"/>
    </row>
    <row r="220">
      <c r="A220" s="86"/>
      <c r="C220" s="46"/>
    </row>
    <row r="221">
      <c r="A221" s="86"/>
      <c r="C221" s="46"/>
    </row>
    <row r="222">
      <c r="A222" s="86"/>
      <c r="C222" s="46"/>
    </row>
    <row r="223">
      <c r="A223" s="86"/>
      <c r="C223" s="46"/>
    </row>
    <row r="224">
      <c r="A224" s="86"/>
      <c r="C224" s="46"/>
    </row>
    <row r="225">
      <c r="A225" s="86"/>
      <c r="C225" s="46"/>
    </row>
    <row r="226">
      <c r="A226" s="86"/>
      <c r="C226" s="46"/>
    </row>
    <row r="227">
      <c r="A227" s="86"/>
      <c r="C227" s="46"/>
    </row>
    <row r="228">
      <c r="A228" s="86"/>
      <c r="C228" s="46"/>
    </row>
    <row r="229">
      <c r="A229" s="86"/>
      <c r="C229" s="46"/>
    </row>
    <row r="230">
      <c r="A230" s="86"/>
      <c r="C230" s="46"/>
    </row>
    <row r="231">
      <c r="A231" s="86"/>
      <c r="C231" s="46"/>
    </row>
    <row r="232">
      <c r="A232" s="86"/>
      <c r="C232" s="46"/>
    </row>
    <row r="233">
      <c r="A233" s="86"/>
      <c r="C233" s="46"/>
    </row>
    <row r="234">
      <c r="A234" s="86"/>
      <c r="C234" s="46"/>
    </row>
    <row r="235">
      <c r="A235" s="86"/>
      <c r="C235" s="46"/>
    </row>
    <row r="236">
      <c r="A236" s="86"/>
      <c r="C236" s="46"/>
    </row>
    <row r="237">
      <c r="A237" s="86"/>
      <c r="C237" s="46"/>
    </row>
    <row r="238">
      <c r="A238" s="86"/>
      <c r="C238" s="46"/>
    </row>
    <row r="239">
      <c r="A239" s="86"/>
      <c r="C239" s="46"/>
    </row>
    <row r="240">
      <c r="A240" s="86"/>
      <c r="C240" s="46"/>
    </row>
    <row r="241">
      <c r="A241" s="86"/>
      <c r="C241" s="46"/>
    </row>
    <row r="242">
      <c r="A242" s="86"/>
      <c r="C242" s="46"/>
    </row>
    <row r="243">
      <c r="A243" s="86"/>
      <c r="C243" s="46"/>
    </row>
    <row r="244">
      <c r="A244" s="86"/>
      <c r="C244" s="46"/>
    </row>
    <row r="245">
      <c r="A245" s="86"/>
      <c r="C245" s="46"/>
    </row>
    <row r="246">
      <c r="A246" s="86"/>
      <c r="C246" s="46"/>
    </row>
    <row r="247">
      <c r="A247" s="86"/>
      <c r="C247" s="46"/>
    </row>
    <row r="248">
      <c r="A248" s="86"/>
      <c r="C248" s="46"/>
    </row>
    <row r="249">
      <c r="A249" s="86"/>
      <c r="C249" s="46"/>
    </row>
    <row r="250">
      <c r="A250" s="86"/>
      <c r="C250" s="46"/>
    </row>
    <row r="251">
      <c r="A251" s="86"/>
      <c r="C251" s="46"/>
    </row>
    <row r="252">
      <c r="A252" s="86"/>
      <c r="C252" s="46"/>
    </row>
    <row r="253">
      <c r="A253" s="86"/>
      <c r="C253" s="46"/>
    </row>
    <row r="254">
      <c r="A254" s="86"/>
      <c r="C254" s="46"/>
    </row>
    <row r="255">
      <c r="A255" s="86"/>
      <c r="C255" s="46"/>
    </row>
    <row r="256">
      <c r="A256" s="86"/>
      <c r="C256" s="46"/>
    </row>
    <row r="257">
      <c r="A257" s="86"/>
      <c r="C257" s="46"/>
    </row>
    <row r="258">
      <c r="A258" s="86"/>
      <c r="C258" s="46"/>
    </row>
    <row r="259">
      <c r="A259" s="86"/>
      <c r="C259" s="46"/>
    </row>
    <row r="260">
      <c r="A260" s="86"/>
      <c r="C260" s="46"/>
    </row>
    <row r="261">
      <c r="A261" s="86"/>
      <c r="C261" s="46"/>
    </row>
    <row r="262">
      <c r="A262" s="86"/>
      <c r="C262" s="46"/>
    </row>
    <row r="263">
      <c r="A263" s="86"/>
      <c r="C263" s="46"/>
    </row>
    <row r="264">
      <c r="A264" s="86"/>
      <c r="C264" s="46"/>
    </row>
    <row r="265">
      <c r="A265" s="86"/>
      <c r="C265" s="46"/>
    </row>
    <row r="266">
      <c r="A266" s="86"/>
      <c r="C266" s="46"/>
    </row>
    <row r="267">
      <c r="A267" s="86"/>
      <c r="C267" s="46"/>
    </row>
    <row r="268">
      <c r="A268" s="86"/>
      <c r="C268" s="46"/>
    </row>
    <row r="269">
      <c r="A269" s="86"/>
      <c r="C269" s="46"/>
    </row>
    <row r="270">
      <c r="A270" s="86"/>
      <c r="C270" s="46"/>
    </row>
    <row r="271">
      <c r="A271" s="86"/>
      <c r="C271" s="46"/>
    </row>
    <row r="272">
      <c r="A272" s="86"/>
      <c r="C272" s="46"/>
    </row>
    <row r="273">
      <c r="A273" s="86"/>
      <c r="C273" s="46"/>
    </row>
    <row r="274">
      <c r="A274" s="86"/>
      <c r="C274" s="46"/>
    </row>
    <row r="275">
      <c r="A275" s="86"/>
      <c r="C275" s="46"/>
    </row>
    <row r="276">
      <c r="A276" s="86"/>
      <c r="C276" s="46"/>
    </row>
    <row r="277">
      <c r="A277" s="86"/>
      <c r="C277" s="46"/>
    </row>
    <row r="278">
      <c r="A278" s="86"/>
      <c r="C278" s="46"/>
    </row>
    <row r="279">
      <c r="A279" s="86"/>
      <c r="C279" s="46"/>
    </row>
    <row r="280">
      <c r="A280" s="86"/>
      <c r="C280" s="46"/>
    </row>
    <row r="281">
      <c r="A281" s="86"/>
      <c r="C281" s="46"/>
    </row>
    <row r="282">
      <c r="A282" s="86"/>
      <c r="C282" s="46"/>
    </row>
    <row r="283">
      <c r="A283" s="86"/>
      <c r="C283" s="46"/>
    </row>
    <row r="284">
      <c r="A284" s="86"/>
      <c r="C284" s="46"/>
    </row>
    <row r="285">
      <c r="A285" s="86"/>
      <c r="C285" s="46"/>
    </row>
    <row r="286">
      <c r="A286" s="86"/>
      <c r="C286" s="46"/>
    </row>
    <row r="287">
      <c r="A287" s="86"/>
      <c r="C287" s="46"/>
    </row>
    <row r="288">
      <c r="A288" s="86"/>
      <c r="C288" s="46"/>
    </row>
    <row r="289">
      <c r="A289" s="86"/>
      <c r="C289" s="46"/>
    </row>
    <row r="290">
      <c r="A290" s="86"/>
      <c r="C290" s="46"/>
    </row>
    <row r="291">
      <c r="A291" s="86"/>
      <c r="C291" s="46"/>
    </row>
    <row r="292">
      <c r="A292" s="86"/>
      <c r="C292" s="46"/>
    </row>
    <row r="293">
      <c r="A293" s="86"/>
      <c r="C293" s="46"/>
    </row>
    <row r="294">
      <c r="A294" s="86"/>
      <c r="C294" s="46"/>
    </row>
    <row r="295">
      <c r="A295" s="86"/>
      <c r="C295" s="46"/>
    </row>
    <row r="296">
      <c r="A296" s="86"/>
      <c r="C296" s="46"/>
    </row>
    <row r="297">
      <c r="A297" s="86"/>
      <c r="C297" s="46"/>
    </row>
    <row r="298">
      <c r="A298" s="86"/>
      <c r="C298" s="46"/>
    </row>
    <row r="299">
      <c r="A299" s="86"/>
      <c r="C299" s="46"/>
    </row>
    <row r="300">
      <c r="A300" s="86"/>
      <c r="C300" s="46"/>
    </row>
    <row r="301">
      <c r="A301" s="86"/>
      <c r="C301" s="46"/>
    </row>
    <row r="302">
      <c r="A302" s="86"/>
      <c r="C302" s="46"/>
    </row>
    <row r="303">
      <c r="A303" s="86"/>
      <c r="C303" s="46"/>
    </row>
    <row r="304">
      <c r="A304" s="86"/>
      <c r="C304" s="46"/>
    </row>
    <row r="305">
      <c r="A305" s="86"/>
      <c r="C305" s="46"/>
    </row>
    <row r="306">
      <c r="A306" s="86"/>
      <c r="C306" s="46"/>
    </row>
    <row r="307">
      <c r="A307" s="86"/>
      <c r="C307" s="46"/>
    </row>
    <row r="308">
      <c r="A308" s="86"/>
      <c r="C308" s="46"/>
    </row>
    <row r="309">
      <c r="A309" s="86"/>
      <c r="C309" s="46"/>
    </row>
    <row r="310">
      <c r="A310" s="86"/>
      <c r="C310" s="46"/>
    </row>
    <row r="311">
      <c r="A311" s="86"/>
      <c r="C311" s="46"/>
    </row>
    <row r="312">
      <c r="A312" s="86"/>
      <c r="C312" s="46"/>
    </row>
    <row r="313">
      <c r="A313" s="86"/>
      <c r="C313" s="46"/>
    </row>
    <row r="314">
      <c r="A314" s="86"/>
      <c r="C314" s="46"/>
    </row>
    <row r="315">
      <c r="A315" s="86"/>
      <c r="C315" s="46"/>
    </row>
    <row r="316">
      <c r="A316" s="86"/>
      <c r="C316" s="46"/>
    </row>
    <row r="317">
      <c r="A317" s="86"/>
      <c r="C317" s="46"/>
    </row>
    <row r="318">
      <c r="A318" s="86"/>
      <c r="C318" s="46"/>
    </row>
    <row r="319">
      <c r="A319" s="86"/>
      <c r="C319" s="46"/>
    </row>
    <row r="320">
      <c r="A320" s="86"/>
      <c r="C320" s="46"/>
    </row>
    <row r="321">
      <c r="A321" s="86"/>
      <c r="C321" s="46"/>
    </row>
    <row r="322">
      <c r="A322" s="86"/>
      <c r="C322" s="46"/>
    </row>
    <row r="323">
      <c r="A323" s="86"/>
      <c r="C323" s="46"/>
    </row>
    <row r="324">
      <c r="A324" s="86"/>
      <c r="C324" s="46"/>
    </row>
    <row r="325">
      <c r="A325" s="86"/>
      <c r="C325" s="46"/>
    </row>
    <row r="326">
      <c r="A326" s="86"/>
      <c r="C326" s="46"/>
    </row>
    <row r="327">
      <c r="A327" s="86"/>
      <c r="C327" s="46"/>
    </row>
    <row r="328">
      <c r="A328" s="86"/>
      <c r="C328" s="46"/>
    </row>
    <row r="329">
      <c r="A329" s="86"/>
      <c r="C329" s="46"/>
    </row>
    <row r="330">
      <c r="A330" s="86"/>
      <c r="C330" s="46"/>
    </row>
    <row r="331">
      <c r="A331" s="86"/>
      <c r="C331" s="46"/>
    </row>
    <row r="332">
      <c r="A332" s="86"/>
      <c r="C332" s="46"/>
    </row>
    <row r="333">
      <c r="A333" s="86"/>
      <c r="C333" s="46"/>
    </row>
    <row r="334">
      <c r="A334" s="86"/>
      <c r="C334" s="46"/>
    </row>
    <row r="335">
      <c r="A335" s="86"/>
      <c r="C335" s="46"/>
    </row>
    <row r="336">
      <c r="A336" s="86"/>
      <c r="C336" s="46"/>
    </row>
    <row r="337">
      <c r="A337" s="86"/>
      <c r="C337" s="46"/>
    </row>
    <row r="338">
      <c r="A338" s="86"/>
      <c r="C338" s="46"/>
    </row>
    <row r="339">
      <c r="A339" s="86"/>
      <c r="C339" s="46"/>
    </row>
    <row r="340">
      <c r="A340" s="86"/>
      <c r="C340" s="46"/>
    </row>
    <row r="341">
      <c r="A341" s="86"/>
      <c r="C341" s="46"/>
    </row>
    <row r="342">
      <c r="A342" s="86"/>
      <c r="C342" s="46"/>
    </row>
    <row r="343">
      <c r="A343" s="86"/>
      <c r="C343" s="46"/>
    </row>
    <row r="344">
      <c r="A344" s="86"/>
      <c r="C344" s="46"/>
    </row>
    <row r="345">
      <c r="A345" s="86"/>
      <c r="C345" s="46"/>
    </row>
    <row r="346">
      <c r="A346" s="86"/>
      <c r="C346" s="46"/>
    </row>
    <row r="347">
      <c r="A347" s="86"/>
      <c r="C347" s="46"/>
    </row>
    <row r="348">
      <c r="A348" s="86"/>
      <c r="C348" s="46"/>
    </row>
    <row r="349">
      <c r="A349" s="86"/>
      <c r="C349" s="46"/>
    </row>
    <row r="350">
      <c r="A350" s="86"/>
      <c r="C350" s="46"/>
    </row>
    <row r="351">
      <c r="A351" s="86"/>
      <c r="C351" s="46"/>
    </row>
    <row r="352">
      <c r="A352" s="86"/>
      <c r="C352" s="46"/>
    </row>
    <row r="353">
      <c r="A353" s="86"/>
      <c r="C353" s="46"/>
    </row>
    <row r="354">
      <c r="A354" s="86"/>
      <c r="C354" s="46"/>
    </row>
    <row r="355">
      <c r="A355" s="86"/>
      <c r="C355" s="46"/>
    </row>
    <row r="356">
      <c r="A356" s="86"/>
      <c r="C356" s="46"/>
    </row>
    <row r="357">
      <c r="A357" s="86"/>
      <c r="C357" s="46"/>
    </row>
    <row r="358">
      <c r="A358" s="86"/>
      <c r="C358" s="46"/>
    </row>
    <row r="359">
      <c r="A359" s="86"/>
      <c r="C359" s="46"/>
    </row>
    <row r="360">
      <c r="A360" s="86"/>
      <c r="C360" s="46"/>
    </row>
    <row r="361">
      <c r="A361" s="86"/>
      <c r="C361" s="46"/>
    </row>
    <row r="362">
      <c r="A362" s="86"/>
      <c r="C362" s="46"/>
    </row>
    <row r="363">
      <c r="A363" s="86"/>
      <c r="C363" s="46"/>
    </row>
    <row r="364">
      <c r="A364" s="86"/>
      <c r="C364" s="46"/>
    </row>
    <row r="365">
      <c r="A365" s="86"/>
      <c r="C365" s="46"/>
    </row>
    <row r="366">
      <c r="A366" s="86"/>
      <c r="C366" s="46"/>
    </row>
    <row r="367">
      <c r="A367" s="86"/>
      <c r="C367" s="46"/>
    </row>
    <row r="368">
      <c r="A368" s="86"/>
      <c r="C368" s="46"/>
    </row>
    <row r="369">
      <c r="A369" s="86"/>
      <c r="C369" s="46"/>
    </row>
    <row r="370">
      <c r="A370" s="86"/>
      <c r="C370" s="46"/>
    </row>
    <row r="371">
      <c r="A371" s="86"/>
      <c r="C371" s="46"/>
    </row>
    <row r="372">
      <c r="A372" s="86"/>
      <c r="C372" s="46"/>
    </row>
    <row r="373">
      <c r="A373" s="86"/>
      <c r="C373" s="46"/>
    </row>
    <row r="374">
      <c r="A374" s="86"/>
      <c r="C374" s="46"/>
    </row>
    <row r="375">
      <c r="A375" s="86"/>
      <c r="C375" s="46"/>
    </row>
    <row r="376">
      <c r="A376" s="86"/>
      <c r="C376" s="46"/>
    </row>
    <row r="377">
      <c r="A377" s="86"/>
      <c r="C377" s="46"/>
    </row>
    <row r="378">
      <c r="A378" s="86"/>
      <c r="C378" s="46"/>
    </row>
    <row r="379">
      <c r="A379" s="86"/>
      <c r="C379" s="46"/>
    </row>
    <row r="380">
      <c r="A380" s="86"/>
      <c r="C380" s="46"/>
    </row>
    <row r="381">
      <c r="A381" s="86"/>
      <c r="C381" s="46"/>
    </row>
    <row r="382">
      <c r="A382" s="86"/>
      <c r="C382" s="46"/>
    </row>
    <row r="383">
      <c r="A383" s="86"/>
      <c r="C383" s="46"/>
    </row>
    <row r="384">
      <c r="A384" s="86"/>
      <c r="C384" s="46"/>
    </row>
    <row r="385">
      <c r="A385" s="86"/>
      <c r="C385" s="46"/>
    </row>
    <row r="386">
      <c r="A386" s="86"/>
      <c r="C386" s="46"/>
    </row>
    <row r="387">
      <c r="A387" s="86"/>
      <c r="C387" s="46"/>
    </row>
    <row r="388">
      <c r="A388" s="86"/>
      <c r="C388" s="46"/>
    </row>
    <row r="389">
      <c r="A389" s="86"/>
      <c r="C389" s="46"/>
    </row>
    <row r="390">
      <c r="A390" s="86"/>
      <c r="C390" s="46"/>
    </row>
    <row r="391">
      <c r="A391" s="86"/>
      <c r="C391" s="46"/>
    </row>
    <row r="392">
      <c r="A392" s="86"/>
      <c r="C392" s="46"/>
    </row>
    <row r="393">
      <c r="A393" s="86"/>
      <c r="C393" s="46"/>
    </row>
    <row r="394">
      <c r="A394" s="86"/>
      <c r="C394" s="46"/>
    </row>
    <row r="395">
      <c r="A395" s="86"/>
      <c r="C395" s="46"/>
    </row>
    <row r="396">
      <c r="A396" s="86"/>
      <c r="C396" s="46"/>
    </row>
    <row r="397">
      <c r="A397" s="86"/>
      <c r="C397" s="46"/>
    </row>
    <row r="398">
      <c r="A398" s="86"/>
      <c r="C398" s="46"/>
    </row>
    <row r="399">
      <c r="A399" s="86"/>
      <c r="C399" s="46"/>
    </row>
    <row r="400">
      <c r="A400" s="86"/>
      <c r="C400" s="46"/>
    </row>
    <row r="401">
      <c r="A401" s="86"/>
      <c r="C401" s="46"/>
    </row>
    <row r="402">
      <c r="A402" s="86"/>
      <c r="C402" s="46"/>
    </row>
    <row r="403">
      <c r="A403" s="86"/>
      <c r="C403" s="46"/>
    </row>
    <row r="404">
      <c r="A404" s="86"/>
      <c r="C404" s="46"/>
    </row>
    <row r="405">
      <c r="A405" s="86"/>
      <c r="C405" s="46"/>
    </row>
    <row r="406">
      <c r="A406" s="86"/>
      <c r="C406" s="46"/>
    </row>
    <row r="407">
      <c r="A407" s="86"/>
      <c r="C407" s="46"/>
    </row>
    <row r="408">
      <c r="A408" s="86"/>
      <c r="C408" s="46"/>
    </row>
    <row r="409">
      <c r="A409" s="86"/>
      <c r="C409" s="46"/>
    </row>
    <row r="410">
      <c r="A410" s="86"/>
      <c r="C410" s="46"/>
    </row>
    <row r="411">
      <c r="A411" s="86"/>
      <c r="C411" s="46"/>
    </row>
    <row r="412">
      <c r="A412" s="86"/>
      <c r="C412" s="46"/>
    </row>
    <row r="413">
      <c r="A413" s="86"/>
      <c r="C413" s="46"/>
    </row>
    <row r="414">
      <c r="A414" s="86"/>
      <c r="C414" s="46"/>
    </row>
    <row r="415">
      <c r="A415" s="86"/>
      <c r="C415" s="46"/>
    </row>
    <row r="416">
      <c r="A416" s="86"/>
      <c r="C416" s="46"/>
    </row>
    <row r="417">
      <c r="A417" s="86"/>
      <c r="C417" s="46"/>
    </row>
    <row r="418">
      <c r="A418" s="86"/>
      <c r="C418" s="46"/>
    </row>
    <row r="419">
      <c r="A419" s="86"/>
      <c r="C419" s="46"/>
    </row>
    <row r="420">
      <c r="A420" s="86"/>
      <c r="C420" s="46"/>
    </row>
    <row r="421">
      <c r="A421" s="86"/>
      <c r="C421" s="46"/>
    </row>
    <row r="422">
      <c r="A422" s="86"/>
      <c r="C422" s="46"/>
    </row>
    <row r="423">
      <c r="A423" s="86"/>
      <c r="C423" s="46"/>
    </row>
    <row r="424">
      <c r="A424" s="86"/>
      <c r="C424" s="46"/>
    </row>
    <row r="425">
      <c r="A425" s="86"/>
      <c r="C425" s="46"/>
    </row>
    <row r="426">
      <c r="A426" s="86"/>
      <c r="C426" s="46"/>
    </row>
    <row r="427">
      <c r="A427" s="86"/>
      <c r="C427" s="46"/>
    </row>
    <row r="428">
      <c r="A428" s="86"/>
      <c r="C428" s="46"/>
    </row>
    <row r="429">
      <c r="A429" s="86"/>
      <c r="C429" s="46"/>
    </row>
    <row r="430">
      <c r="A430" s="86"/>
      <c r="C430" s="46"/>
    </row>
    <row r="431">
      <c r="A431" s="86"/>
      <c r="C431" s="46"/>
    </row>
    <row r="432">
      <c r="A432" s="86"/>
      <c r="C432" s="46"/>
    </row>
    <row r="433">
      <c r="A433" s="86"/>
      <c r="C433" s="46"/>
    </row>
    <row r="434">
      <c r="A434" s="86"/>
      <c r="C434" s="46"/>
    </row>
    <row r="435">
      <c r="A435" s="86"/>
      <c r="C435" s="46"/>
    </row>
    <row r="436">
      <c r="A436" s="86"/>
      <c r="C436" s="46"/>
    </row>
    <row r="437">
      <c r="A437" s="86"/>
      <c r="C437" s="46"/>
    </row>
    <row r="438">
      <c r="A438" s="86"/>
      <c r="C438" s="46"/>
    </row>
    <row r="439">
      <c r="A439" s="86"/>
      <c r="C439" s="46"/>
    </row>
    <row r="440">
      <c r="A440" s="86"/>
      <c r="C440" s="46"/>
    </row>
    <row r="441">
      <c r="A441" s="86"/>
      <c r="C441" s="46"/>
    </row>
    <row r="442">
      <c r="A442" s="86"/>
      <c r="C442" s="46"/>
    </row>
    <row r="443">
      <c r="A443" s="86"/>
      <c r="C443" s="46"/>
    </row>
    <row r="444">
      <c r="A444" s="86"/>
      <c r="C444" s="46"/>
    </row>
    <row r="445">
      <c r="A445" s="86"/>
      <c r="C445" s="46"/>
    </row>
    <row r="446">
      <c r="A446" s="86"/>
      <c r="C446" s="46"/>
    </row>
    <row r="447">
      <c r="A447" s="86"/>
      <c r="C447" s="46"/>
    </row>
    <row r="448">
      <c r="A448" s="86"/>
      <c r="C448" s="46"/>
    </row>
    <row r="449">
      <c r="A449" s="86"/>
      <c r="C449" s="46"/>
    </row>
    <row r="450">
      <c r="A450" s="86"/>
      <c r="C450" s="46"/>
    </row>
    <row r="451">
      <c r="A451" s="86"/>
      <c r="C451" s="46"/>
    </row>
    <row r="452">
      <c r="A452" s="86"/>
      <c r="C452" s="46"/>
    </row>
    <row r="453">
      <c r="A453" s="86"/>
      <c r="C453" s="46"/>
    </row>
    <row r="454">
      <c r="A454" s="86"/>
      <c r="C454" s="46"/>
    </row>
    <row r="455">
      <c r="A455" s="86"/>
      <c r="C455" s="46"/>
    </row>
    <row r="456">
      <c r="A456" s="86"/>
      <c r="C456" s="46"/>
    </row>
    <row r="457">
      <c r="A457" s="86"/>
      <c r="C457" s="46"/>
    </row>
    <row r="458">
      <c r="A458" s="86"/>
      <c r="C458" s="46"/>
    </row>
    <row r="459">
      <c r="A459" s="86"/>
      <c r="C459" s="46"/>
    </row>
    <row r="460">
      <c r="A460" s="86"/>
      <c r="C460" s="46"/>
    </row>
    <row r="461">
      <c r="A461" s="86"/>
      <c r="C461" s="46"/>
    </row>
    <row r="462">
      <c r="A462" s="86"/>
      <c r="C462" s="46"/>
    </row>
    <row r="463">
      <c r="A463" s="86"/>
      <c r="C463" s="46"/>
    </row>
    <row r="464">
      <c r="A464" s="86"/>
      <c r="C464" s="46"/>
    </row>
    <row r="465">
      <c r="A465" s="86"/>
      <c r="C465" s="46"/>
    </row>
    <row r="466">
      <c r="A466" s="86"/>
      <c r="C466" s="46"/>
    </row>
    <row r="467">
      <c r="A467" s="86"/>
      <c r="C467" s="46"/>
    </row>
    <row r="468">
      <c r="A468" s="86"/>
      <c r="C468" s="46"/>
    </row>
    <row r="469">
      <c r="A469" s="86"/>
      <c r="C469" s="46"/>
    </row>
    <row r="470">
      <c r="A470" s="86"/>
      <c r="C470" s="46"/>
    </row>
    <row r="471">
      <c r="A471" s="86"/>
      <c r="C471" s="46"/>
    </row>
    <row r="472">
      <c r="A472" s="86"/>
      <c r="C472" s="46"/>
    </row>
    <row r="473">
      <c r="A473" s="86"/>
      <c r="C473" s="46"/>
    </row>
    <row r="474">
      <c r="A474" s="86"/>
      <c r="C474" s="46"/>
    </row>
    <row r="475">
      <c r="A475" s="86"/>
      <c r="C475" s="46"/>
    </row>
    <row r="476">
      <c r="A476" s="86"/>
      <c r="C476" s="46"/>
    </row>
    <row r="477">
      <c r="A477" s="86"/>
      <c r="C477" s="46"/>
    </row>
    <row r="478">
      <c r="A478" s="86"/>
      <c r="C478" s="46"/>
    </row>
    <row r="479">
      <c r="A479" s="86"/>
      <c r="C479" s="46"/>
    </row>
    <row r="480">
      <c r="A480" s="86"/>
      <c r="C480" s="46"/>
    </row>
    <row r="481">
      <c r="A481" s="86"/>
      <c r="C481" s="46"/>
    </row>
    <row r="482">
      <c r="A482" s="86"/>
      <c r="C482" s="46"/>
    </row>
    <row r="483">
      <c r="A483" s="86"/>
      <c r="C483" s="46"/>
    </row>
    <row r="484">
      <c r="A484" s="86"/>
      <c r="C484" s="46"/>
    </row>
    <row r="485">
      <c r="A485" s="86"/>
      <c r="C485" s="46"/>
    </row>
    <row r="486">
      <c r="A486" s="86"/>
      <c r="C486" s="46"/>
    </row>
    <row r="487">
      <c r="A487" s="86"/>
      <c r="C487" s="46"/>
    </row>
    <row r="488">
      <c r="A488" s="86"/>
      <c r="C488" s="46"/>
    </row>
    <row r="489">
      <c r="A489" s="86"/>
      <c r="C489" s="46"/>
    </row>
    <row r="490">
      <c r="A490" s="86"/>
      <c r="C490" s="46"/>
    </row>
    <row r="491">
      <c r="A491" s="86"/>
      <c r="C491" s="46"/>
    </row>
    <row r="492">
      <c r="A492" s="86"/>
      <c r="C492" s="46"/>
    </row>
    <row r="493">
      <c r="A493" s="86"/>
      <c r="C493" s="46"/>
    </row>
    <row r="494">
      <c r="A494" s="86"/>
      <c r="C494" s="46"/>
    </row>
    <row r="495">
      <c r="A495" s="86"/>
      <c r="C495" s="46"/>
    </row>
    <row r="496">
      <c r="A496" s="86"/>
      <c r="C496" s="46"/>
    </row>
    <row r="497">
      <c r="A497" s="86"/>
      <c r="C497" s="46"/>
    </row>
    <row r="498">
      <c r="A498" s="86"/>
      <c r="C498" s="46"/>
    </row>
    <row r="499">
      <c r="A499" s="86"/>
      <c r="C499" s="46"/>
    </row>
    <row r="500">
      <c r="A500" s="86"/>
      <c r="C500" s="46"/>
    </row>
    <row r="501">
      <c r="A501" s="86"/>
      <c r="C501" s="46"/>
    </row>
    <row r="502">
      <c r="A502" s="86"/>
      <c r="C502" s="46"/>
    </row>
    <row r="503">
      <c r="A503" s="86"/>
      <c r="C503" s="46"/>
    </row>
    <row r="504">
      <c r="A504" s="86"/>
      <c r="C504" s="46"/>
    </row>
    <row r="505">
      <c r="A505" s="86"/>
      <c r="C505" s="46"/>
    </row>
    <row r="506">
      <c r="A506" s="86"/>
      <c r="C506" s="46"/>
    </row>
    <row r="507">
      <c r="A507" s="86"/>
      <c r="C507" s="46"/>
    </row>
    <row r="508">
      <c r="A508" s="86"/>
      <c r="C508" s="46"/>
    </row>
    <row r="509">
      <c r="A509" s="86"/>
      <c r="C509" s="46"/>
    </row>
    <row r="510">
      <c r="A510" s="86"/>
      <c r="C510" s="46"/>
    </row>
    <row r="511">
      <c r="A511" s="86"/>
      <c r="C511" s="46"/>
    </row>
    <row r="512">
      <c r="A512" s="86"/>
      <c r="C512" s="46"/>
    </row>
    <row r="513">
      <c r="A513" s="86"/>
      <c r="C513" s="46"/>
    </row>
    <row r="514">
      <c r="A514" s="86"/>
      <c r="C514" s="46"/>
    </row>
    <row r="515">
      <c r="A515" s="86"/>
      <c r="C515" s="46"/>
    </row>
    <row r="516">
      <c r="A516" s="86"/>
      <c r="C516" s="46"/>
    </row>
    <row r="517">
      <c r="A517" s="86"/>
      <c r="C517" s="46"/>
    </row>
    <row r="518">
      <c r="A518" s="86"/>
      <c r="C518" s="46"/>
    </row>
    <row r="519">
      <c r="A519" s="86"/>
      <c r="C519" s="46"/>
    </row>
    <row r="520">
      <c r="A520" s="86"/>
      <c r="C520" s="46"/>
    </row>
    <row r="521">
      <c r="A521" s="86"/>
      <c r="C521" s="46"/>
    </row>
    <row r="522">
      <c r="A522" s="86"/>
      <c r="C522" s="46"/>
    </row>
    <row r="523">
      <c r="A523" s="86"/>
      <c r="C523" s="46"/>
    </row>
    <row r="524">
      <c r="A524" s="86"/>
      <c r="C524" s="46"/>
    </row>
    <row r="525">
      <c r="A525" s="86"/>
      <c r="C525" s="46"/>
    </row>
    <row r="526">
      <c r="A526" s="86"/>
      <c r="C526" s="46"/>
    </row>
    <row r="527">
      <c r="A527" s="86"/>
      <c r="C527" s="46"/>
    </row>
    <row r="528">
      <c r="A528" s="86"/>
      <c r="C528" s="46"/>
    </row>
    <row r="529">
      <c r="A529" s="86"/>
      <c r="C529" s="46"/>
    </row>
    <row r="530">
      <c r="A530" s="86"/>
      <c r="C530" s="46"/>
    </row>
    <row r="531">
      <c r="A531" s="86"/>
      <c r="C531" s="46"/>
    </row>
    <row r="532">
      <c r="A532" s="86"/>
      <c r="C532" s="46"/>
    </row>
    <row r="533">
      <c r="A533" s="86"/>
      <c r="C533" s="46"/>
    </row>
    <row r="534">
      <c r="A534" s="86"/>
      <c r="C534" s="46"/>
    </row>
    <row r="535">
      <c r="A535" s="86"/>
      <c r="C535" s="46"/>
    </row>
    <row r="536">
      <c r="A536" s="86"/>
      <c r="C536" s="46"/>
    </row>
    <row r="537">
      <c r="A537" s="86"/>
      <c r="C537" s="46"/>
    </row>
    <row r="538">
      <c r="A538" s="86"/>
      <c r="C538" s="46"/>
    </row>
    <row r="539">
      <c r="A539" s="86"/>
      <c r="C539" s="46"/>
    </row>
    <row r="540">
      <c r="A540" s="86"/>
      <c r="C540" s="46"/>
    </row>
    <row r="541">
      <c r="A541" s="86"/>
      <c r="C541" s="46"/>
    </row>
    <row r="542">
      <c r="A542" s="86"/>
      <c r="C542" s="46"/>
    </row>
    <row r="543">
      <c r="A543" s="86"/>
      <c r="C543" s="46"/>
    </row>
    <row r="544">
      <c r="A544" s="86"/>
      <c r="C544" s="46"/>
    </row>
    <row r="545">
      <c r="A545" s="86"/>
      <c r="C545" s="46"/>
    </row>
    <row r="546">
      <c r="A546" s="86"/>
      <c r="C546" s="46"/>
    </row>
    <row r="547">
      <c r="A547" s="86"/>
      <c r="C547" s="46"/>
    </row>
    <row r="548">
      <c r="A548" s="86"/>
      <c r="C548" s="46"/>
    </row>
    <row r="549">
      <c r="A549" s="86"/>
      <c r="C549" s="46"/>
    </row>
    <row r="550">
      <c r="A550" s="86"/>
      <c r="C550" s="46"/>
    </row>
    <row r="551">
      <c r="A551" s="86"/>
      <c r="C551" s="46"/>
    </row>
    <row r="552">
      <c r="A552" s="86"/>
      <c r="C552" s="46"/>
    </row>
    <row r="553">
      <c r="A553" s="86"/>
      <c r="C553" s="46"/>
    </row>
    <row r="554">
      <c r="A554" s="86"/>
      <c r="C554" s="46"/>
    </row>
    <row r="555">
      <c r="A555" s="86"/>
      <c r="C555" s="46"/>
    </row>
    <row r="556">
      <c r="A556" s="86"/>
      <c r="C556" s="46"/>
    </row>
    <row r="557">
      <c r="A557" s="86"/>
      <c r="C557" s="46"/>
    </row>
    <row r="558">
      <c r="A558" s="86"/>
      <c r="C558" s="46"/>
    </row>
    <row r="559">
      <c r="A559" s="86"/>
      <c r="C559" s="46"/>
    </row>
    <row r="560">
      <c r="A560" s="86"/>
      <c r="C560" s="46"/>
    </row>
    <row r="561">
      <c r="A561" s="86"/>
      <c r="C561" s="46"/>
    </row>
    <row r="562">
      <c r="A562" s="86"/>
      <c r="C562" s="46"/>
    </row>
    <row r="563">
      <c r="A563" s="86"/>
      <c r="C563" s="46"/>
    </row>
    <row r="564">
      <c r="A564" s="86"/>
      <c r="C564" s="46"/>
    </row>
    <row r="565">
      <c r="A565" s="86"/>
      <c r="C565" s="46"/>
    </row>
    <row r="566">
      <c r="A566" s="86"/>
      <c r="C566" s="46"/>
    </row>
    <row r="567">
      <c r="A567" s="86"/>
      <c r="C567" s="46"/>
    </row>
    <row r="568">
      <c r="A568" s="86"/>
      <c r="C568" s="46"/>
    </row>
    <row r="569">
      <c r="A569" s="86"/>
      <c r="C569" s="46"/>
    </row>
    <row r="570">
      <c r="A570" s="86"/>
      <c r="C570" s="46"/>
    </row>
    <row r="571">
      <c r="A571" s="86"/>
      <c r="C571" s="46"/>
    </row>
    <row r="572">
      <c r="A572" s="86"/>
      <c r="C572" s="46"/>
    </row>
    <row r="573">
      <c r="A573" s="86"/>
      <c r="C573" s="46"/>
    </row>
    <row r="574">
      <c r="A574" s="86"/>
      <c r="C574" s="46"/>
    </row>
    <row r="575">
      <c r="A575" s="86"/>
      <c r="C575" s="46"/>
    </row>
    <row r="576">
      <c r="A576" s="86"/>
      <c r="C576" s="46"/>
    </row>
    <row r="577">
      <c r="A577" s="86"/>
      <c r="C577" s="46"/>
    </row>
    <row r="578">
      <c r="A578" s="86"/>
      <c r="C578" s="46"/>
    </row>
    <row r="579">
      <c r="A579" s="86"/>
      <c r="C579" s="46"/>
    </row>
    <row r="580">
      <c r="A580" s="86"/>
      <c r="C580" s="46"/>
    </row>
    <row r="581">
      <c r="A581" s="86"/>
      <c r="C581" s="46"/>
    </row>
    <row r="582">
      <c r="A582" s="86"/>
      <c r="C582" s="46"/>
    </row>
    <row r="583">
      <c r="A583" s="86"/>
      <c r="C583" s="46"/>
    </row>
    <row r="584">
      <c r="A584" s="86"/>
      <c r="C584" s="46"/>
    </row>
    <row r="585">
      <c r="A585" s="86"/>
      <c r="C585" s="46"/>
    </row>
    <row r="586">
      <c r="A586" s="86"/>
      <c r="C586" s="46"/>
    </row>
    <row r="587">
      <c r="A587" s="86"/>
      <c r="C587" s="46"/>
    </row>
    <row r="588">
      <c r="A588" s="86"/>
      <c r="C588" s="46"/>
    </row>
    <row r="589">
      <c r="A589" s="86"/>
      <c r="C589" s="46"/>
    </row>
    <row r="590">
      <c r="A590" s="86"/>
      <c r="C590" s="46"/>
    </row>
    <row r="591">
      <c r="A591" s="86"/>
      <c r="C591" s="46"/>
    </row>
    <row r="592">
      <c r="A592" s="86"/>
      <c r="C592" s="46"/>
    </row>
    <row r="593">
      <c r="A593" s="86"/>
      <c r="C593" s="46"/>
    </row>
    <row r="594">
      <c r="A594" s="86"/>
      <c r="C594" s="46"/>
    </row>
    <row r="595">
      <c r="A595" s="86"/>
      <c r="C595" s="46"/>
    </row>
    <row r="596">
      <c r="A596" s="86"/>
      <c r="C596" s="46"/>
    </row>
    <row r="597">
      <c r="A597" s="86"/>
      <c r="C597" s="46"/>
    </row>
    <row r="598">
      <c r="A598" s="86"/>
      <c r="C598" s="46"/>
    </row>
    <row r="599">
      <c r="A599" s="86"/>
      <c r="C599" s="46"/>
    </row>
    <row r="600">
      <c r="A600" s="86"/>
      <c r="C600" s="46"/>
    </row>
    <row r="601">
      <c r="A601" s="86"/>
      <c r="C601" s="46"/>
    </row>
    <row r="602">
      <c r="A602" s="86"/>
      <c r="C602" s="46"/>
    </row>
    <row r="603">
      <c r="A603" s="86"/>
      <c r="C603" s="46"/>
    </row>
    <row r="604">
      <c r="A604" s="86"/>
      <c r="C604" s="46"/>
    </row>
    <row r="605">
      <c r="A605" s="86"/>
      <c r="C605" s="46"/>
    </row>
    <row r="606">
      <c r="A606" s="86"/>
      <c r="C606" s="46"/>
    </row>
    <row r="607">
      <c r="A607" s="86"/>
      <c r="C607" s="46"/>
    </row>
    <row r="608">
      <c r="A608" s="86"/>
      <c r="C608" s="46"/>
    </row>
    <row r="609">
      <c r="A609" s="86"/>
      <c r="C609" s="46"/>
    </row>
    <row r="610">
      <c r="A610" s="86"/>
      <c r="C610" s="46"/>
    </row>
    <row r="611">
      <c r="A611" s="86"/>
      <c r="C611" s="46"/>
    </row>
    <row r="612">
      <c r="A612" s="86"/>
      <c r="C612" s="46"/>
    </row>
    <row r="613">
      <c r="A613" s="86"/>
      <c r="C613" s="46"/>
    </row>
    <row r="614">
      <c r="A614" s="86"/>
      <c r="C614" s="46"/>
    </row>
    <row r="615">
      <c r="A615" s="86"/>
      <c r="C615" s="46"/>
    </row>
    <row r="616">
      <c r="A616" s="86"/>
      <c r="C616" s="46"/>
    </row>
    <row r="617">
      <c r="A617" s="86"/>
      <c r="C617" s="46"/>
    </row>
    <row r="618">
      <c r="A618" s="86"/>
      <c r="C618" s="46"/>
    </row>
    <row r="619">
      <c r="A619" s="86"/>
      <c r="C619" s="46"/>
    </row>
    <row r="620">
      <c r="A620" s="86"/>
      <c r="C620" s="46"/>
    </row>
    <row r="621">
      <c r="A621" s="86"/>
      <c r="C621" s="46"/>
    </row>
    <row r="622">
      <c r="A622" s="86"/>
      <c r="C622" s="46"/>
    </row>
    <row r="623">
      <c r="A623" s="86"/>
      <c r="C623" s="46"/>
    </row>
    <row r="624">
      <c r="A624" s="86"/>
      <c r="C624" s="46"/>
    </row>
    <row r="625">
      <c r="A625" s="86"/>
      <c r="C625" s="46"/>
    </row>
    <row r="626">
      <c r="A626" s="86"/>
      <c r="C626" s="46"/>
    </row>
    <row r="627">
      <c r="A627" s="86"/>
      <c r="C627" s="46"/>
    </row>
    <row r="628">
      <c r="A628" s="86"/>
      <c r="C628" s="46"/>
    </row>
    <row r="629">
      <c r="A629" s="86"/>
      <c r="C629" s="46"/>
    </row>
    <row r="630">
      <c r="A630" s="86"/>
      <c r="C630" s="46"/>
    </row>
    <row r="631">
      <c r="A631" s="86"/>
      <c r="C631" s="46"/>
    </row>
    <row r="632">
      <c r="A632" s="86"/>
      <c r="C632" s="46"/>
    </row>
    <row r="633">
      <c r="A633" s="86"/>
      <c r="C633" s="46"/>
    </row>
    <row r="634">
      <c r="A634" s="86"/>
      <c r="C634" s="46"/>
    </row>
    <row r="635">
      <c r="A635" s="86"/>
      <c r="C635" s="46"/>
    </row>
    <row r="636">
      <c r="A636" s="86"/>
      <c r="C636" s="46"/>
    </row>
    <row r="637">
      <c r="A637" s="86"/>
      <c r="C637" s="46"/>
    </row>
    <row r="638">
      <c r="A638" s="86"/>
      <c r="C638" s="46"/>
    </row>
    <row r="639">
      <c r="A639" s="86"/>
      <c r="C639" s="46"/>
    </row>
    <row r="640">
      <c r="A640" s="86"/>
      <c r="C640" s="46"/>
    </row>
    <row r="641">
      <c r="A641" s="86"/>
      <c r="C641" s="46"/>
    </row>
    <row r="642">
      <c r="A642" s="86"/>
      <c r="C642" s="46"/>
    </row>
    <row r="643">
      <c r="A643" s="86"/>
      <c r="C643" s="46"/>
    </row>
    <row r="644">
      <c r="A644" s="86"/>
      <c r="C644" s="46"/>
    </row>
    <row r="645">
      <c r="A645" s="86"/>
      <c r="C645" s="46"/>
    </row>
    <row r="646">
      <c r="A646" s="86"/>
      <c r="C646" s="46"/>
    </row>
    <row r="647">
      <c r="A647" s="86"/>
      <c r="C647" s="46"/>
    </row>
    <row r="648">
      <c r="A648" s="86"/>
      <c r="C648" s="46"/>
    </row>
    <row r="649">
      <c r="A649" s="86"/>
      <c r="C649" s="46"/>
    </row>
    <row r="650">
      <c r="A650" s="86"/>
      <c r="C650" s="46"/>
    </row>
    <row r="651">
      <c r="A651" s="86"/>
      <c r="C651" s="46"/>
    </row>
    <row r="652">
      <c r="A652" s="86"/>
      <c r="C652" s="46"/>
    </row>
    <row r="653">
      <c r="A653" s="86"/>
      <c r="C653" s="46"/>
    </row>
    <row r="654">
      <c r="A654" s="86"/>
      <c r="C654" s="46"/>
    </row>
    <row r="655">
      <c r="A655" s="86"/>
      <c r="C655" s="46"/>
    </row>
    <row r="656">
      <c r="A656" s="86"/>
      <c r="C656" s="46"/>
    </row>
    <row r="657">
      <c r="A657" s="86"/>
      <c r="C657" s="46"/>
    </row>
    <row r="658">
      <c r="A658" s="86"/>
      <c r="C658" s="46"/>
    </row>
    <row r="659">
      <c r="A659" s="86"/>
      <c r="C659" s="46"/>
    </row>
    <row r="660">
      <c r="A660" s="86"/>
      <c r="C660" s="46"/>
    </row>
    <row r="661">
      <c r="A661" s="86"/>
      <c r="C661" s="46"/>
    </row>
    <row r="662">
      <c r="A662" s="86"/>
      <c r="C662" s="46"/>
    </row>
    <row r="663">
      <c r="A663" s="86"/>
      <c r="C663" s="46"/>
    </row>
    <row r="664">
      <c r="A664" s="86"/>
      <c r="C664" s="46"/>
    </row>
    <row r="665">
      <c r="A665" s="86"/>
      <c r="C665" s="46"/>
    </row>
    <row r="666">
      <c r="A666" s="86"/>
      <c r="C666" s="46"/>
    </row>
    <row r="667">
      <c r="A667" s="86"/>
      <c r="C667" s="46"/>
    </row>
    <row r="668">
      <c r="A668" s="86"/>
      <c r="C668" s="46"/>
    </row>
    <row r="669">
      <c r="A669" s="86"/>
      <c r="C669" s="46"/>
    </row>
    <row r="670">
      <c r="A670" s="86"/>
      <c r="C670" s="46"/>
    </row>
    <row r="671">
      <c r="A671" s="86"/>
      <c r="C671" s="46"/>
    </row>
    <row r="672">
      <c r="A672" s="86"/>
      <c r="C672" s="46"/>
    </row>
    <row r="673">
      <c r="A673" s="86"/>
      <c r="C673" s="46"/>
    </row>
    <row r="674">
      <c r="A674" s="86"/>
      <c r="C674" s="46"/>
    </row>
    <row r="675">
      <c r="A675" s="86"/>
      <c r="C675" s="46"/>
    </row>
    <row r="676">
      <c r="A676" s="86"/>
      <c r="C676" s="46"/>
    </row>
    <row r="677">
      <c r="A677" s="86"/>
      <c r="C677" s="46"/>
    </row>
    <row r="678">
      <c r="A678" s="86"/>
      <c r="C678" s="46"/>
    </row>
    <row r="679">
      <c r="A679" s="86"/>
      <c r="C679" s="46"/>
    </row>
    <row r="680">
      <c r="A680" s="86"/>
      <c r="C680" s="46"/>
    </row>
    <row r="681">
      <c r="A681" s="86"/>
      <c r="C681" s="46"/>
    </row>
    <row r="682">
      <c r="A682" s="86"/>
      <c r="C682" s="46"/>
    </row>
    <row r="683">
      <c r="A683" s="86"/>
      <c r="C683" s="46"/>
    </row>
    <row r="684">
      <c r="A684" s="86"/>
      <c r="C684" s="46"/>
    </row>
    <row r="685">
      <c r="A685" s="86"/>
      <c r="C685" s="46"/>
    </row>
    <row r="686">
      <c r="A686" s="86"/>
      <c r="C686" s="46"/>
    </row>
    <row r="687">
      <c r="A687" s="86"/>
      <c r="C687" s="46"/>
    </row>
    <row r="688">
      <c r="A688" s="86"/>
      <c r="C688" s="46"/>
    </row>
    <row r="689">
      <c r="A689" s="86"/>
      <c r="C689" s="46"/>
    </row>
    <row r="690">
      <c r="A690" s="86"/>
      <c r="C690" s="46"/>
    </row>
    <row r="691">
      <c r="A691" s="86"/>
      <c r="C691" s="46"/>
    </row>
    <row r="692">
      <c r="A692" s="86"/>
      <c r="C692" s="46"/>
    </row>
    <row r="693">
      <c r="A693" s="86"/>
      <c r="C693" s="46"/>
    </row>
    <row r="694">
      <c r="A694" s="86"/>
      <c r="C694" s="46"/>
    </row>
    <row r="695">
      <c r="A695" s="86"/>
      <c r="C695" s="46"/>
    </row>
    <row r="696">
      <c r="A696" s="86"/>
      <c r="C696" s="46"/>
    </row>
    <row r="697">
      <c r="A697" s="86"/>
      <c r="C697" s="46"/>
    </row>
    <row r="698">
      <c r="A698" s="86"/>
      <c r="C698" s="46"/>
    </row>
    <row r="699">
      <c r="A699" s="86"/>
      <c r="C699" s="46"/>
    </row>
    <row r="700">
      <c r="A700" s="86"/>
      <c r="C700" s="46"/>
    </row>
    <row r="701">
      <c r="A701" s="86"/>
      <c r="C701" s="46"/>
    </row>
    <row r="702">
      <c r="A702" s="86"/>
      <c r="C702" s="46"/>
    </row>
    <row r="703">
      <c r="A703" s="86"/>
      <c r="C703" s="46"/>
    </row>
    <row r="704">
      <c r="A704" s="86"/>
      <c r="C704" s="46"/>
    </row>
    <row r="705">
      <c r="A705" s="86"/>
      <c r="C705" s="46"/>
    </row>
    <row r="706">
      <c r="A706" s="86"/>
      <c r="C706" s="46"/>
    </row>
    <row r="707">
      <c r="A707" s="86"/>
      <c r="C707" s="46"/>
    </row>
    <row r="708">
      <c r="A708" s="86"/>
      <c r="C708" s="46"/>
    </row>
    <row r="709">
      <c r="A709" s="86"/>
      <c r="C709" s="46"/>
    </row>
    <row r="710">
      <c r="A710" s="86"/>
      <c r="C710" s="46"/>
    </row>
    <row r="711">
      <c r="A711" s="86"/>
      <c r="C711" s="46"/>
    </row>
    <row r="712">
      <c r="A712" s="86"/>
      <c r="C712" s="46"/>
    </row>
    <row r="713">
      <c r="A713" s="86"/>
      <c r="C713" s="46"/>
    </row>
    <row r="714">
      <c r="A714" s="86"/>
      <c r="C714" s="46"/>
    </row>
    <row r="715">
      <c r="A715" s="86"/>
      <c r="C715" s="46"/>
    </row>
    <row r="716">
      <c r="A716" s="86"/>
      <c r="C716" s="46"/>
    </row>
    <row r="717">
      <c r="A717" s="86"/>
      <c r="C717" s="46"/>
    </row>
    <row r="718">
      <c r="A718" s="86"/>
      <c r="C718" s="46"/>
    </row>
    <row r="719">
      <c r="A719" s="86"/>
      <c r="C719" s="46"/>
    </row>
    <row r="720">
      <c r="A720" s="86"/>
      <c r="C720" s="46"/>
    </row>
    <row r="721">
      <c r="A721" s="86"/>
      <c r="C721" s="46"/>
    </row>
    <row r="722">
      <c r="A722" s="86"/>
      <c r="C722" s="46"/>
    </row>
    <row r="723">
      <c r="A723" s="86"/>
      <c r="C723" s="46"/>
    </row>
    <row r="724">
      <c r="A724" s="86"/>
      <c r="C724" s="46"/>
    </row>
    <row r="725">
      <c r="A725" s="86"/>
      <c r="C725" s="46"/>
    </row>
    <row r="726">
      <c r="A726" s="86"/>
      <c r="C726" s="46"/>
    </row>
    <row r="727">
      <c r="A727" s="86"/>
      <c r="C727" s="46"/>
    </row>
    <row r="728">
      <c r="A728" s="86"/>
      <c r="C728" s="46"/>
    </row>
    <row r="729">
      <c r="A729" s="86"/>
      <c r="C729" s="46"/>
    </row>
    <row r="730">
      <c r="A730" s="86"/>
      <c r="C730" s="46"/>
    </row>
    <row r="731">
      <c r="A731" s="86"/>
      <c r="C731" s="46"/>
    </row>
    <row r="732">
      <c r="A732" s="86"/>
      <c r="C732" s="46"/>
    </row>
    <row r="733">
      <c r="A733" s="86"/>
      <c r="C733" s="46"/>
    </row>
    <row r="734">
      <c r="A734" s="86"/>
      <c r="C734" s="46"/>
    </row>
    <row r="735">
      <c r="A735" s="86"/>
      <c r="C735" s="46"/>
    </row>
    <row r="736">
      <c r="A736" s="86"/>
      <c r="C736" s="46"/>
    </row>
    <row r="737">
      <c r="A737" s="86"/>
      <c r="C737" s="46"/>
    </row>
    <row r="738">
      <c r="A738" s="86"/>
      <c r="C738" s="46"/>
    </row>
    <row r="739">
      <c r="A739" s="86"/>
      <c r="C739" s="46"/>
    </row>
    <row r="740">
      <c r="A740" s="86"/>
      <c r="C740" s="46"/>
    </row>
    <row r="741">
      <c r="A741" s="86"/>
      <c r="C741" s="46"/>
    </row>
    <row r="742">
      <c r="A742" s="86"/>
      <c r="C742" s="46"/>
    </row>
    <row r="743">
      <c r="A743" s="86"/>
      <c r="C743" s="46"/>
    </row>
    <row r="744">
      <c r="A744" s="86"/>
      <c r="C744" s="46"/>
    </row>
    <row r="745">
      <c r="A745" s="86"/>
      <c r="C745" s="46"/>
    </row>
    <row r="746">
      <c r="A746" s="86"/>
      <c r="C746" s="46"/>
    </row>
    <row r="747">
      <c r="A747" s="86"/>
      <c r="C747" s="46"/>
    </row>
    <row r="748">
      <c r="A748" s="86"/>
      <c r="C748" s="46"/>
    </row>
    <row r="749">
      <c r="A749" s="86"/>
      <c r="C749" s="46"/>
    </row>
    <row r="750">
      <c r="A750" s="86"/>
      <c r="C750" s="46"/>
    </row>
    <row r="751">
      <c r="A751" s="86"/>
      <c r="C751" s="46"/>
    </row>
    <row r="752">
      <c r="A752" s="86"/>
      <c r="C752" s="46"/>
    </row>
    <row r="753">
      <c r="A753" s="86"/>
      <c r="C753" s="46"/>
    </row>
    <row r="754">
      <c r="A754" s="86"/>
      <c r="C754" s="46"/>
    </row>
    <row r="755">
      <c r="A755" s="86"/>
      <c r="C755" s="46"/>
    </row>
    <row r="756">
      <c r="A756" s="86"/>
      <c r="C756" s="46"/>
    </row>
    <row r="757">
      <c r="A757" s="86"/>
      <c r="C757" s="46"/>
    </row>
    <row r="758">
      <c r="A758" s="86"/>
      <c r="C758" s="46"/>
    </row>
    <row r="759">
      <c r="A759" s="86"/>
      <c r="C759" s="46"/>
    </row>
    <row r="760">
      <c r="A760" s="86"/>
      <c r="C760" s="46"/>
    </row>
    <row r="761">
      <c r="A761" s="86"/>
      <c r="C761" s="46"/>
    </row>
    <row r="762">
      <c r="A762" s="86"/>
      <c r="C762" s="46"/>
    </row>
    <row r="763">
      <c r="A763" s="86"/>
      <c r="C763" s="46"/>
    </row>
    <row r="764">
      <c r="A764" s="86"/>
      <c r="C764" s="46"/>
    </row>
    <row r="765">
      <c r="A765" s="86"/>
      <c r="C765" s="46"/>
    </row>
    <row r="766">
      <c r="A766" s="86"/>
      <c r="C766" s="46"/>
    </row>
    <row r="767">
      <c r="A767" s="86"/>
      <c r="C767" s="46"/>
    </row>
    <row r="768">
      <c r="A768" s="86"/>
      <c r="C768" s="46"/>
    </row>
    <row r="769">
      <c r="A769" s="86"/>
      <c r="C769" s="46"/>
    </row>
    <row r="770">
      <c r="A770" s="86"/>
      <c r="C770" s="46"/>
    </row>
    <row r="771">
      <c r="A771" s="86"/>
      <c r="C771" s="46"/>
    </row>
    <row r="772">
      <c r="A772" s="86"/>
      <c r="C772" s="46"/>
    </row>
    <row r="773">
      <c r="A773" s="86"/>
      <c r="C773" s="46"/>
    </row>
    <row r="774">
      <c r="A774" s="86"/>
      <c r="C774" s="46"/>
    </row>
    <row r="775">
      <c r="A775" s="86"/>
      <c r="C775" s="46"/>
    </row>
    <row r="776">
      <c r="A776" s="86"/>
      <c r="C776" s="46"/>
    </row>
    <row r="777">
      <c r="A777" s="86"/>
      <c r="C777" s="46"/>
    </row>
    <row r="778">
      <c r="A778" s="86"/>
      <c r="C778" s="46"/>
    </row>
    <row r="779">
      <c r="A779" s="86"/>
      <c r="C779" s="46"/>
    </row>
    <row r="780">
      <c r="A780" s="86"/>
      <c r="C780" s="46"/>
    </row>
    <row r="781">
      <c r="A781" s="86"/>
      <c r="C781" s="46"/>
    </row>
    <row r="782">
      <c r="A782" s="86"/>
      <c r="C782" s="46"/>
    </row>
    <row r="783">
      <c r="A783" s="86"/>
      <c r="C783" s="46"/>
    </row>
    <row r="784">
      <c r="A784" s="86"/>
      <c r="C784" s="46"/>
    </row>
    <row r="785">
      <c r="A785" s="86"/>
      <c r="C785" s="46"/>
    </row>
    <row r="786">
      <c r="A786" s="86"/>
      <c r="C786" s="46"/>
    </row>
    <row r="787">
      <c r="A787" s="86"/>
      <c r="C787" s="46"/>
    </row>
    <row r="788">
      <c r="A788" s="86"/>
      <c r="C788" s="46"/>
    </row>
    <row r="789">
      <c r="A789" s="86"/>
      <c r="C789" s="46"/>
    </row>
    <row r="790">
      <c r="A790" s="86"/>
      <c r="C790" s="46"/>
    </row>
    <row r="791">
      <c r="A791" s="86"/>
      <c r="C791" s="46"/>
    </row>
    <row r="792">
      <c r="A792" s="86"/>
      <c r="C792" s="46"/>
    </row>
    <row r="793">
      <c r="A793" s="86"/>
      <c r="C793" s="46"/>
    </row>
    <row r="794">
      <c r="A794" s="86"/>
      <c r="C794" s="46"/>
    </row>
    <row r="795">
      <c r="A795" s="86"/>
      <c r="C795" s="46"/>
    </row>
    <row r="796">
      <c r="A796" s="86"/>
      <c r="C796" s="46"/>
    </row>
    <row r="797">
      <c r="A797" s="86"/>
      <c r="C797" s="46"/>
    </row>
    <row r="798">
      <c r="A798" s="86"/>
      <c r="C798" s="46"/>
    </row>
    <row r="799">
      <c r="A799" s="86"/>
      <c r="C799" s="46"/>
    </row>
    <row r="800">
      <c r="A800" s="86"/>
      <c r="C800" s="46"/>
    </row>
    <row r="801">
      <c r="A801" s="86"/>
      <c r="C801" s="46"/>
    </row>
    <row r="802">
      <c r="A802" s="86"/>
      <c r="C802" s="46"/>
    </row>
    <row r="803">
      <c r="A803" s="86"/>
      <c r="C803" s="46"/>
    </row>
    <row r="804">
      <c r="A804" s="86"/>
      <c r="C804" s="46"/>
    </row>
    <row r="805">
      <c r="A805" s="86"/>
      <c r="C805" s="46"/>
    </row>
    <row r="806">
      <c r="A806" s="86"/>
      <c r="C806" s="46"/>
    </row>
    <row r="807">
      <c r="A807" s="86"/>
      <c r="C807" s="46"/>
    </row>
    <row r="808">
      <c r="A808" s="86"/>
      <c r="C808" s="46"/>
    </row>
    <row r="809">
      <c r="A809" s="86"/>
      <c r="C809" s="46"/>
    </row>
    <row r="810">
      <c r="A810" s="86"/>
      <c r="C810" s="46"/>
    </row>
    <row r="811">
      <c r="A811" s="86"/>
      <c r="C811" s="46"/>
    </row>
    <row r="812">
      <c r="A812" s="86"/>
      <c r="C812" s="46"/>
    </row>
    <row r="813">
      <c r="A813" s="86"/>
      <c r="C813" s="46"/>
    </row>
    <row r="814">
      <c r="A814" s="86"/>
      <c r="C814" s="46"/>
    </row>
    <row r="815">
      <c r="A815" s="86"/>
      <c r="C815" s="46"/>
    </row>
    <row r="816">
      <c r="A816" s="86"/>
      <c r="C816" s="46"/>
    </row>
    <row r="817">
      <c r="A817" s="86"/>
      <c r="C817" s="46"/>
    </row>
    <row r="818">
      <c r="A818" s="86"/>
      <c r="C818" s="46"/>
    </row>
    <row r="819">
      <c r="A819" s="86"/>
      <c r="C819" s="46"/>
    </row>
    <row r="820">
      <c r="A820" s="86"/>
      <c r="C820" s="46"/>
    </row>
    <row r="821">
      <c r="A821" s="86"/>
      <c r="C821" s="46"/>
    </row>
    <row r="822">
      <c r="A822" s="86"/>
      <c r="C822" s="46"/>
    </row>
    <row r="823">
      <c r="A823" s="86"/>
      <c r="C823" s="46"/>
    </row>
    <row r="824">
      <c r="A824" s="86"/>
      <c r="C824" s="46"/>
    </row>
    <row r="825">
      <c r="A825" s="86"/>
      <c r="C825" s="46"/>
    </row>
    <row r="826">
      <c r="A826" s="86"/>
      <c r="C826" s="46"/>
    </row>
    <row r="827">
      <c r="A827" s="86"/>
      <c r="C827" s="46"/>
    </row>
    <row r="828">
      <c r="A828" s="86"/>
      <c r="C828" s="46"/>
    </row>
    <row r="829">
      <c r="A829" s="86"/>
      <c r="C829" s="46"/>
    </row>
    <row r="830">
      <c r="A830" s="86"/>
      <c r="C830" s="46"/>
    </row>
    <row r="831">
      <c r="A831" s="86"/>
      <c r="C831" s="46"/>
    </row>
    <row r="832">
      <c r="A832" s="86"/>
      <c r="C832" s="46"/>
    </row>
    <row r="833">
      <c r="A833" s="86"/>
      <c r="C833" s="46"/>
    </row>
    <row r="834">
      <c r="A834" s="86"/>
      <c r="C834" s="46"/>
    </row>
    <row r="835">
      <c r="A835" s="86"/>
      <c r="C835" s="46"/>
    </row>
    <row r="836">
      <c r="A836" s="86"/>
      <c r="C836" s="46"/>
    </row>
    <row r="837">
      <c r="A837" s="86"/>
      <c r="C837" s="46"/>
    </row>
    <row r="838">
      <c r="A838" s="86"/>
      <c r="C838" s="46"/>
    </row>
    <row r="839">
      <c r="A839" s="86"/>
      <c r="C839" s="46"/>
    </row>
    <row r="840">
      <c r="A840" s="86"/>
      <c r="C840" s="46"/>
    </row>
    <row r="841">
      <c r="A841" s="86"/>
      <c r="C841" s="46"/>
    </row>
    <row r="842">
      <c r="A842" s="86"/>
      <c r="C842" s="46"/>
    </row>
    <row r="843">
      <c r="A843" s="86"/>
      <c r="C843" s="46"/>
    </row>
    <row r="844">
      <c r="A844" s="86"/>
      <c r="C844" s="46"/>
    </row>
    <row r="845">
      <c r="A845" s="86"/>
      <c r="C845" s="46"/>
    </row>
    <row r="846">
      <c r="A846" s="86"/>
      <c r="C846" s="46"/>
    </row>
    <row r="847">
      <c r="A847" s="86"/>
      <c r="C847" s="46"/>
    </row>
    <row r="848">
      <c r="A848" s="86"/>
      <c r="C848" s="46"/>
    </row>
    <row r="849">
      <c r="A849" s="86"/>
      <c r="C849" s="46"/>
    </row>
    <row r="850">
      <c r="A850" s="86"/>
      <c r="C850" s="46"/>
    </row>
    <row r="851">
      <c r="A851" s="86"/>
      <c r="C851" s="46"/>
    </row>
    <row r="852">
      <c r="A852" s="86"/>
      <c r="C852" s="46"/>
    </row>
    <row r="853">
      <c r="A853" s="86"/>
      <c r="C853" s="46"/>
    </row>
    <row r="854">
      <c r="A854" s="86"/>
      <c r="C854" s="46"/>
    </row>
    <row r="855">
      <c r="A855" s="86"/>
      <c r="C855" s="46"/>
    </row>
    <row r="856">
      <c r="A856" s="86"/>
      <c r="C856" s="46"/>
    </row>
    <row r="857">
      <c r="A857" s="86"/>
      <c r="C857" s="46"/>
    </row>
    <row r="858">
      <c r="A858" s="86"/>
      <c r="C858" s="46"/>
    </row>
    <row r="859">
      <c r="A859" s="86"/>
      <c r="C859" s="46"/>
    </row>
    <row r="860">
      <c r="A860" s="86"/>
      <c r="C860" s="46"/>
    </row>
    <row r="861">
      <c r="A861" s="86"/>
      <c r="C861" s="46"/>
    </row>
    <row r="862">
      <c r="A862" s="86"/>
      <c r="C862" s="46"/>
    </row>
    <row r="863">
      <c r="A863" s="86"/>
      <c r="C863" s="46"/>
    </row>
    <row r="864">
      <c r="A864" s="86"/>
      <c r="C864" s="46"/>
    </row>
    <row r="865">
      <c r="A865" s="86"/>
      <c r="C865" s="46"/>
    </row>
    <row r="866">
      <c r="A866" s="86"/>
      <c r="C866" s="46"/>
    </row>
    <row r="867">
      <c r="A867" s="86"/>
      <c r="C867" s="46"/>
    </row>
    <row r="868">
      <c r="A868" s="86"/>
      <c r="C868" s="46"/>
    </row>
    <row r="869">
      <c r="A869" s="86"/>
      <c r="C869" s="46"/>
    </row>
    <row r="870">
      <c r="A870" s="86"/>
      <c r="C870" s="46"/>
    </row>
    <row r="871">
      <c r="A871" s="86"/>
      <c r="C871" s="46"/>
    </row>
    <row r="872">
      <c r="A872" s="86"/>
      <c r="C872" s="46"/>
    </row>
    <row r="873">
      <c r="A873" s="86"/>
      <c r="C873" s="46"/>
    </row>
    <row r="874">
      <c r="A874" s="86"/>
      <c r="C874" s="46"/>
    </row>
    <row r="875">
      <c r="A875" s="86"/>
      <c r="C875" s="46"/>
    </row>
    <row r="876">
      <c r="A876" s="86"/>
      <c r="C876" s="46"/>
    </row>
    <row r="877">
      <c r="A877" s="86"/>
      <c r="C877" s="46"/>
    </row>
    <row r="878">
      <c r="A878" s="86"/>
      <c r="C878" s="46"/>
    </row>
    <row r="879">
      <c r="A879" s="86"/>
      <c r="C879" s="46"/>
    </row>
    <row r="880">
      <c r="A880" s="86"/>
      <c r="C880" s="46"/>
    </row>
    <row r="881">
      <c r="A881" s="86"/>
      <c r="C881" s="46"/>
    </row>
    <row r="882">
      <c r="A882" s="86"/>
      <c r="C882" s="46"/>
    </row>
    <row r="883">
      <c r="A883" s="86"/>
      <c r="C883" s="46"/>
    </row>
    <row r="884">
      <c r="A884" s="86"/>
      <c r="C884" s="46"/>
    </row>
    <row r="885">
      <c r="A885" s="86"/>
      <c r="C885" s="46"/>
    </row>
    <row r="886">
      <c r="A886" s="86"/>
      <c r="C886" s="46"/>
    </row>
    <row r="887">
      <c r="A887" s="86"/>
      <c r="C887" s="46"/>
    </row>
    <row r="888">
      <c r="A888" s="86"/>
      <c r="C888" s="46"/>
    </row>
    <row r="889">
      <c r="A889" s="86"/>
      <c r="C889" s="46"/>
    </row>
    <row r="890">
      <c r="A890" s="86"/>
      <c r="C890" s="46"/>
    </row>
    <row r="891">
      <c r="A891" s="86"/>
      <c r="C891" s="46"/>
    </row>
    <row r="892">
      <c r="A892" s="86"/>
      <c r="C892" s="46"/>
    </row>
    <row r="893">
      <c r="A893" s="86"/>
      <c r="C893" s="46"/>
    </row>
    <row r="894">
      <c r="A894" s="86"/>
      <c r="C894" s="46"/>
    </row>
    <row r="895">
      <c r="A895" s="86"/>
      <c r="C895" s="46"/>
    </row>
    <row r="896">
      <c r="A896" s="86"/>
      <c r="C896" s="46"/>
    </row>
    <row r="897">
      <c r="A897" s="86"/>
      <c r="C897" s="46"/>
    </row>
    <row r="898">
      <c r="A898" s="86"/>
      <c r="C898" s="46"/>
    </row>
    <row r="899">
      <c r="A899" s="86"/>
      <c r="C899" s="46"/>
    </row>
    <row r="900">
      <c r="A900" s="86"/>
      <c r="C900" s="46"/>
    </row>
    <row r="901">
      <c r="A901" s="86"/>
      <c r="C901" s="46"/>
    </row>
    <row r="902">
      <c r="A902" s="86"/>
      <c r="C902" s="46"/>
    </row>
    <row r="903">
      <c r="A903" s="86"/>
      <c r="C903" s="46"/>
    </row>
    <row r="904">
      <c r="A904" s="86"/>
      <c r="C904" s="46"/>
    </row>
    <row r="905">
      <c r="A905" s="86"/>
      <c r="C905" s="46"/>
    </row>
    <row r="906">
      <c r="A906" s="86"/>
      <c r="C906" s="46"/>
    </row>
    <row r="907">
      <c r="A907" s="86"/>
      <c r="C907" s="46"/>
    </row>
    <row r="908">
      <c r="A908" s="86"/>
      <c r="C908" s="46"/>
    </row>
    <row r="909">
      <c r="A909" s="86"/>
      <c r="C909" s="46"/>
    </row>
    <row r="910">
      <c r="A910" s="86"/>
      <c r="C910" s="46"/>
    </row>
    <row r="911">
      <c r="A911" s="86"/>
      <c r="C911" s="46"/>
    </row>
    <row r="912">
      <c r="A912" s="86"/>
      <c r="C912" s="46"/>
    </row>
    <row r="913">
      <c r="A913" s="86"/>
      <c r="C913" s="46"/>
    </row>
    <row r="914">
      <c r="A914" s="86"/>
      <c r="C914" s="46"/>
    </row>
    <row r="915">
      <c r="A915" s="86"/>
      <c r="C915" s="46"/>
    </row>
    <row r="916">
      <c r="A916" s="86"/>
      <c r="C916" s="46"/>
    </row>
    <row r="917">
      <c r="A917" s="86"/>
      <c r="C917" s="46"/>
    </row>
    <row r="918">
      <c r="A918" s="86"/>
      <c r="C918" s="46"/>
    </row>
    <row r="919">
      <c r="A919" s="86"/>
      <c r="C919" s="46"/>
    </row>
    <row r="920">
      <c r="A920" s="86"/>
      <c r="C920" s="46"/>
    </row>
    <row r="921">
      <c r="A921" s="86"/>
      <c r="C921" s="46"/>
    </row>
    <row r="922">
      <c r="A922" s="86"/>
      <c r="C922" s="46"/>
    </row>
    <row r="923">
      <c r="A923" s="86"/>
      <c r="C923" s="46"/>
    </row>
    <row r="924">
      <c r="A924" s="86"/>
      <c r="C924" s="46"/>
    </row>
    <row r="925">
      <c r="A925" s="86"/>
      <c r="C925" s="46"/>
    </row>
    <row r="926">
      <c r="A926" s="86"/>
      <c r="C926" s="46"/>
    </row>
    <row r="927">
      <c r="A927" s="86"/>
      <c r="C927" s="46"/>
    </row>
    <row r="928">
      <c r="A928" s="86"/>
      <c r="C928" s="46"/>
    </row>
    <row r="929">
      <c r="A929" s="86"/>
      <c r="C929" s="46"/>
    </row>
    <row r="930">
      <c r="A930" s="86"/>
      <c r="C930" s="46"/>
    </row>
    <row r="931">
      <c r="A931" s="86"/>
      <c r="C931" s="46"/>
    </row>
    <row r="932">
      <c r="A932" s="86"/>
      <c r="C932" s="46"/>
    </row>
    <row r="933">
      <c r="A933" s="86"/>
      <c r="C933" s="46"/>
    </row>
    <row r="934">
      <c r="A934" s="86"/>
      <c r="C934" s="46"/>
    </row>
    <row r="935">
      <c r="A935" s="86"/>
      <c r="C935" s="46"/>
    </row>
    <row r="936">
      <c r="A936" s="86"/>
      <c r="C936" s="46"/>
    </row>
    <row r="937">
      <c r="A937" s="86"/>
      <c r="C937" s="46"/>
    </row>
    <row r="938">
      <c r="A938" s="86"/>
      <c r="C938" s="46"/>
    </row>
    <row r="939">
      <c r="A939" s="86"/>
      <c r="C939" s="46"/>
    </row>
    <row r="940">
      <c r="A940" s="86"/>
      <c r="C940" s="46"/>
    </row>
    <row r="941">
      <c r="A941" s="86"/>
      <c r="C941" s="46"/>
    </row>
    <row r="942">
      <c r="A942" s="86"/>
      <c r="C942" s="46"/>
    </row>
    <row r="943">
      <c r="A943" s="86"/>
      <c r="C943" s="46"/>
    </row>
    <row r="944">
      <c r="A944" s="86"/>
      <c r="C944" s="46"/>
    </row>
    <row r="945">
      <c r="A945" s="86"/>
      <c r="C945" s="46"/>
    </row>
    <row r="946">
      <c r="A946" s="86"/>
      <c r="C946" s="46"/>
    </row>
    <row r="947">
      <c r="A947" s="86"/>
      <c r="C947" s="46"/>
    </row>
    <row r="948">
      <c r="A948" s="86"/>
      <c r="C948" s="46"/>
    </row>
    <row r="949">
      <c r="A949" s="86"/>
      <c r="C949" s="46"/>
    </row>
    <row r="950">
      <c r="A950" s="86"/>
      <c r="C950" s="46"/>
    </row>
    <row r="951">
      <c r="A951" s="86"/>
      <c r="C951" s="46"/>
    </row>
    <row r="952">
      <c r="A952" s="86"/>
      <c r="C952" s="46"/>
    </row>
    <row r="953">
      <c r="A953" s="86"/>
      <c r="C953" s="46"/>
    </row>
    <row r="954">
      <c r="A954" s="86"/>
      <c r="C954" s="46"/>
    </row>
    <row r="955">
      <c r="A955" s="86"/>
      <c r="C955" s="46"/>
    </row>
    <row r="956">
      <c r="A956" s="86"/>
      <c r="C956" s="46"/>
    </row>
    <row r="957">
      <c r="A957" s="86"/>
      <c r="C957" s="46"/>
    </row>
    <row r="958">
      <c r="A958" s="86"/>
      <c r="C958" s="46"/>
    </row>
    <row r="959">
      <c r="A959" s="86"/>
      <c r="C959" s="46"/>
    </row>
    <row r="960">
      <c r="A960" s="86"/>
      <c r="C960" s="46"/>
    </row>
    <row r="961">
      <c r="A961" s="86"/>
      <c r="C961" s="46"/>
    </row>
    <row r="962">
      <c r="A962" s="86"/>
      <c r="C962" s="46"/>
    </row>
    <row r="963">
      <c r="A963" s="86"/>
      <c r="C963" s="46"/>
    </row>
    <row r="964">
      <c r="A964" s="86"/>
      <c r="C964" s="46"/>
    </row>
    <row r="965">
      <c r="A965" s="86"/>
      <c r="C965" s="46"/>
    </row>
    <row r="966">
      <c r="A966" s="86"/>
      <c r="C966" s="46"/>
    </row>
    <row r="967">
      <c r="A967" s="86"/>
      <c r="C967" s="46"/>
    </row>
    <row r="968">
      <c r="A968" s="86"/>
      <c r="C968" s="46"/>
    </row>
    <row r="969">
      <c r="A969" s="86"/>
      <c r="C969" s="46"/>
    </row>
    <row r="970">
      <c r="A970" s="86"/>
      <c r="C970" s="46"/>
    </row>
    <row r="971">
      <c r="A971" s="86"/>
      <c r="C971" s="46"/>
    </row>
    <row r="972">
      <c r="A972" s="86"/>
      <c r="C972" s="46"/>
    </row>
    <row r="973">
      <c r="A973" s="86"/>
      <c r="C973" s="46"/>
    </row>
    <row r="974">
      <c r="A974" s="86"/>
      <c r="C974" s="46"/>
    </row>
    <row r="975">
      <c r="A975" s="86"/>
      <c r="C975" s="46"/>
    </row>
    <row r="976">
      <c r="A976" s="86"/>
      <c r="C976" s="46"/>
    </row>
    <row r="977">
      <c r="A977" s="86"/>
      <c r="C977" s="46"/>
    </row>
    <row r="978">
      <c r="A978" s="86"/>
      <c r="C978" s="46"/>
    </row>
    <row r="979">
      <c r="A979" s="86"/>
      <c r="C979" s="46"/>
    </row>
    <row r="980">
      <c r="A980" s="86"/>
      <c r="C980" s="46"/>
    </row>
    <row r="981">
      <c r="A981" s="86"/>
      <c r="C981" s="46"/>
    </row>
    <row r="982">
      <c r="A982" s="86"/>
      <c r="C982" s="46"/>
    </row>
    <row r="983">
      <c r="A983" s="86"/>
      <c r="C983" s="46"/>
    </row>
    <row r="984">
      <c r="A984" s="86"/>
      <c r="C984" s="46"/>
    </row>
    <row r="985">
      <c r="A985" s="86"/>
      <c r="C985" s="46"/>
    </row>
    <row r="986">
      <c r="A986" s="86"/>
      <c r="C986" s="46"/>
    </row>
    <row r="987">
      <c r="A987" s="86"/>
      <c r="C987" s="46"/>
    </row>
    <row r="988">
      <c r="A988" s="86"/>
      <c r="C988" s="46"/>
    </row>
    <row r="989">
      <c r="A989" s="86"/>
      <c r="C989" s="46"/>
    </row>
    <row r="990">
      <c r="A990" s="86"/>
      <c r="C990" s="46"/>
    </row>
    <row r="991">
      <c r="A991" s="86"/>
      <c r="C991" s="46"/>
    </row>
    <row r="992">
      <c r="A992" s="86"/>
      <c r="C992" s="46"/>
    </row>
    <row r="993">
      <c r="A993" s="86"/>
      <c r="C993" s="46"/>
    </row>
    <row r="994">
      <c r="A994" s="86"/>
      <c r="C994" s="46"/>
    </row>
    <row r="995">
      <c r="A995" s="86"/>
      <c r="C995" s="46"/>
    </row>
    <row r="996">
      <c r="A996" s="86"/>
      <c r="C996" s="46"/>
    </row>
    <row r="997">
      <c r="A997" s="86"/>
      <c r="C997" s="46"/>
    </row>
    <row r="998">
      <c r="A998" s="86"/>
      <c r="C998" s="46"/>
    </row>
    <row r="999">
      <c r="A999" s="86"/>
      <c r="C999" s="46"/>
    </row>
    <row r="1000">
      <c r="A1000" s="86"/>
      <c r="C1000" s="46"/>
    </row>
    <row r="1001">
      <c r="A1001" s="86"/>
      <c r="C1001" s="46"/>
    </row>
    <row r="1002">
      <c r="A1002" s="86"/>
      <c r="C1002" s="46"/>
    </row>
    <row r="1003">
      <c r="A1003" s="86"/>
      <c r="C1003" s="46"/>
    </row>
    <row r="1004">
      <c r="A1004" s="86"/>
      <c r="C1004" s="46"/>
    </row>
    <row r="1005">
      <c r="A1005" s="86"/>
      <c r="C1005" s="46"/>
    </row>
    <row r="1006">
      <c r="A1006" s="86"/>
      <c r="C1006" s="46"/>
    </row>
    <row r="1007">
      <c r="A1007" s="86"/>
      <c r="C1007" s="46"/>
    </row>
    <row r="1008">
      <c r="A1008" s="86"/>
      <c r="C1008" s="46"/>
    </row>
    <row r="1009">
      <c r="A1009" s="86"/>
      <c r="C1009" s="46"/>
    </row>
    <row r="1010">
      <c r="A1010" s="86"/>
      <c r="C1010" s="46"/>
    </row>
    <row r="1011">
      <c r="A1011" s="86"/>
      <c r="C1011" s="46"/>
    </row>
    <row r="1012">
      <c r="A1012" s="86"/>
      <c r="C1012" s="46"/>
    </row>
    <row r="1013">
      <c r="A1013" s="86"/>
      <c r="C1013" s="46"/>
    </row>
    <row r="1014">
      <c r="A1014" s="86"/>
      <c r="C1014" s="46"/>
    </row>
    <row r="1015">
      <c r="A1015" s="86"/>
      <c r="C1015" s="46"/>
    </row>
    <row r="1016">
      <c r="A1016" s="86"/>
      <c r="C1016" s="46"/>
    </row>
    <row r="1017">
      <c r="A1017" s="86"/>
      <c r="C1017" s="46"/>
    </row>
    <row r="1018">
      <c r="A1018" s="86"/>
      <c r="C1018" s="46"/>
    </row>
    <row r="1019">
      <c r="A1019" s="86"/>
      <c r="C1019" s="46"/>
    </row>
    <row r="1020">
      <c r="A1020" s="86"/>
      <c r="C1020" s="46"/>
    </row>
    <row r="1021">
      <c r="A1021" s="86"/>
      <c r="C1021" s="46"/>
    </row>
    <row r="1022">
      <c r="A1022" s="86"/>
      <c r="C1022" s="46"/>
    </row>
    <row r="1023">
      <c r="A1023" s="86"/>
      <c r="C1023" s="46"/>
    </row>
    <row r="1024">
      <c r="A1024" s="86"/>
      <c r="C1024" s="46"/>
    </row>
    <row r="1025">
      <c r="A1025" s="86"/>
      <c r="C1025" s="46"/>
    </row>
    <row r="1026">
      <c r="A1026" s="86"/>
      <c r="C1026" s="46"/>
    </row>
    <row r="1027">
      <c r="A1027" s="86"/>
      <c r="C1027" s="46"/>
    </row>
    <row r="1028">
      <c r="A1028" s="86"/>
      <c r="C1028" s="46"/>
    </row>
    <row r="1029">
      <c r="A1029" s="86"/>
      <c r="C1029" s="46"/>
    </row>
    <row r="1030">
      <c r="A1030" s="86"/>
      <c r="C1030" s="46"/>
    </row>
    <row r="1031">
      <c r="A1031" s="86"/>
      <c r="C1031" s="46"/>
    </row>
    <row r="1032">
      <c r="A1032" s="86"/>
      <c r="C1032" s="46"/>
    </row>
    <row r="1033">
      <c r="A1033" s="86"/>
      <c r="C1033" s="46"/>
    </row>
    <row r="1034">
      <c r="A1034" s="86"/>
      <c r="C1034" s="46"/>
    </row>
    <row r="1035">
      <c r="A1035" s="86"/>
      <c r="C1035" s="46"/>
    </row>
    <row r="1036">
      <c r="A1036" s="86"/>
      <c r="C1036" s="46"/>
    </row>
    <row r="1037">
      <c r="A1037" s="86"/>
      <c r="C1037" s="46"/>
    </row>
    <row r="1038">
      <c r="A1038" s="86"/>
      <c r="C1038" s="46"/>
    </row>
    <row r="1039">
      <c r="A1039" s="86"/>
      <c r="C1039" s="46"/>
    </row>
    <row r="1040">
      <c r="A1040" s="86"/>
      <c r="C1040" s="46"/>
    </row>
    <row r="1041">
      <c r="A1041" s="86"/>
      <c r="C1041" s="46"/>
    </row>
    <row r="1042">
      <c r="A1042" s="86"/>
      <c r="C1042" s="46"/>
    </row>
    <row r="1043">
      <c r="A1043" s="86"/>
      <c r="C1043" s="46"/>
    </row>
    <row r="1044">
      <c r="A1044" s="86"/>
      <c r="C1044" s="46"/>
    </row>
    <row r="1045">
      <c r="A1045" s="86"/>
      <c r="C1045" s="46"/>
    </row>
    <row r="1046">
      <c r="A1046" s="86"/>
      <c r="C1046" s="46"/>
    </row>
    <row r="1047">
      <c r="A1047" s="86"/>
      <c r="C1047" s="46"/>
    </row>
    <row r="1048">
      <c r="A1048" s="86"/>
      <c r="C1048" s="46"/>
    </row>
    <row r="1049">
      <c r="A1049" s="86"/>
      <c r="C1049" s="46"/>
    </row>
    <row r="1050">
      <c r="A1050" s="86"/>
      <c r="C1050" s="46"/>
    </row>
    <row r="1051">
      <c r="A1051" s="86"/>
      <c r="C1051" s="46"/>
    </row>
    <row r="1052">
      <c r="A1052" s="86"/>
      <c r="C1052" s="46"/>
    </row>
    <row r="1053">
      <c r="A1053" s="86"/>
      <c r="C1053" s="46"/>
    </row>
    <row r="1054">
      <c r="A1054" s="86"/>
      <c r="C1054" s="46"/>
    </row>
    <row r="1055">
      <c r="A1055" s="86"/>
      <c r="C1055" s="46"/>
    </row>
    <row r="1056">
      <c r="A1056" s="86"/>
      <c r="C1056" s="46"/>
    </row>
    <row r="1057">
      <c r="A1057" s="86"/>
      <c r="C1057" s="46"/>
    </row>
    <row r="1058">
      <c r="A1058" s="86"/>
      <c r="C1058" s="46"/>
    </row>
    <row r="1059">
      <c r="A1059" s="86"/>
      <c r="C1059" s="46"/>
    </row>
    <row r="1060">
      <c r="A1060" s="86"/>
      <c r="C1060" s="46"/>
    </row>
    <row r="1061">
      <c r="A1061" s="86"/>
      <c r="C1061" s="46"/>
    </row>
    <row r="1062">
      <c r="A1062" s="86"/>
      <c r="C1062" s="46"/>
    </row>
    <row r="1063">
      <c r="A1063" s="86"/>
      <c r="C1063" s="46"/>
    </row>
    <row r="1064">
      <c r="A1064" s="86"/>
      <c r="C1064" s="46"/>
    </row>
    <row r="1065">
      <c r="A1065" s="86"/>
      <c r="C1065" s="46"/>
    </row>
    <row r="1066">
      <c r="A1066" s="86"/>
      <c r="C1066" s="46"/>
    </row>
    <row r="1067">
      <c r="A1067" s="86"/>
      <c r="C1067" s="46"/>
    </row>
    <row r="1068">
      <c r="A1068" s="86"/>
      <c r="C1068" s="46"/>
    </row>
    <row r="1069">
      <c r="A1069" s="86"/>
      <c r="C1069" s="46"/>
    </row>
    <row r="1070">
      <c r="A1070" s="86"/>
      <c r="C1070" s="46"/>
    </row>
    <row r="1071">
      <c r="A1071" s="86"/>
      <c r="C1071" s="46"/>
    </row>
    <row r="1072">
      <c r="A1072" s="86"/>
      <c r="C1072" s="46"/>
    </row>
    <row r="1073">
      <c r="A1073" s="86"/>
      <c r="C1073" s="46"/>
    </row>
    <row r="1074">
      <c r="A1074" s="86"/>
      <c r="C1074" s="46"/>
    </row>
    <row r="1075">
      <c r="A1075" s="86"/>
      <c r="C1075" s="46"/>
    </row>
    <row r="1076">
      <c r="A1076" s="86"/>
      <c r="C1076" s="46"/>
    </row>
    <row r="1077">
      <c r="A1077" s="86"/>
      <c r="C1077" s="46"/>
    </row>
    <row r="1078">
      <c r="A1078" s="86"/>
      <c r="C1078" s="46"/>
    </row>
    <row r="1079">
      <c r="A1079" s="86"/>
      <c r="C1079" s="46"/>
    </row>
    <row r="1080">
      <c r="A1080" s="86"/>
      <c r="C1080" s="46"/>
    </row>
    <row r="1081">
      <c r="A1081" s="86"/>
      <c r="C1081" s="46"/>
    </row>
    <row r="1082">
      <c r="A1082" s="86"/>
      <c r="C1082" s="46"/>
    </row>
    <row r="1083">
      <c r="A1083" s="86"/>
      <c r="C1083" s="46"/>
    </row>
    <row r="1084">
      <c r="A1084" s="86"/>
      <c r="C1084" s="46"/>
    </row>
    <row r="1085">
      <c r="A1085" s="86"/>
      <c r="C1085" s="46"/>
    </row>
    <row r="1086">
      <c r="A1086" s="86"/>
      <c r="C1086" s="46"/>
    </row>
    <row r="1087">
      <c r="A1087" s="86"/>
      <c r="C1087" s="46"/>
    </row>
    <row r="1088">
      <c r="A1088" s="86"/>
      <c r="C1088" s="46"/>
    </row>
    <row r="1089">
      <c r="A1089" s="86"/>
      <c r="C1089" s="46"/>
    </row>
    <row r="1090">
      <c r="A1090" s="86"/>
      <c r="C1090" s="46"/>
    </row>
    <row r="1091">
      <c r="A1091" s="86"/>
      <c r="C1091" s="46"/>
    </row>
    <row r="1092">
      <c r="A1092" s="86"/>
      <c r="C1092" s="46"/>
    </row>
    <row r="1093">
      <c r="A1093" s="86"/>
      <c r="C1093" s="46"/>
    </row>
    <row r="1094">
      <c r="A1094" s="86"/>
      <c r="C1094" s="46"/>
    </row>
    <row r="1095">
      <c r="A1095" s="86"/>
      <c r="C1095" s="46"/>
    </row>
    <row r="1096">
      <c r="A1096" s="86"/>
      <c r="C1096" s="46"/>
    </row>
    <row r="1097">
      <c r="A1097" s="86"/>
      <c r="C1097" s="46"/>
    </row>
    <row r="1098">
      <c r="A1098" s="86"/>
      <c r="C1098" s="46"/>
    </row>
    <row r="1099">
      <c r="A1099" s="86"/>
      <c r="C1099" s="46"/>
    </row>
    <row r="1100">
      <c r="A1100" s="86"/>
      <c r="C1100" s="46"/>
    </row>
    <row r="1101">
      <c r="A1101" s="86"/>
      <c r="C1101" s="46"/>
    </row>
    <row r="1102">
      <c r="A1102" s="86"/>
      <c r="C1102" s="46"/>
    </row>
    <row r="1103">
      <c r="A1103" s="86"/>
      <c r="C1103" s="46"/>
    </row>
    <row r="1104">
      <c r="A1104" s="86"/>
      <c r="C1104" s="46"/>
    </row>
    <row r="1105">
      <c r="A1105" s="86"/>
      <c r="C1105" s="46"/>
    </row>
    <row r="1106">
      <c r="A1106" s="86"/>
      <c r="C1106" s="46"/>
    </row>
    <row r="1107">
      <c r="A1107" s="86"/>
      <c r="C1107" s="46"/>
    </row>
    <row r="1108">
      <c r="A1108" s="86"/>
      <c r="C1108" s="46"/>
    </row>
    <row r="1109">
      <c r="A1109" s="86"/>
      <c r="C1109" s="46"/>
    </row>
    <row r="1110">
      <c r="A1110" s="86"/>
      <c r="C1110" s="46"/>
    </row>
    <row r="1111">
      <c r="A1111" s="86"/>
      <c r="C1111" s="46"/>
    </row>
    <row r="1112">
      <c r="A1112" s="86"/>
      <c r="C1112" s="46"/>
    </row>
    <row r="1113">
      <c r="A1113" s="86"/>
      <c r="C1113" s="46"/>
    </row>
    <row r="1114">
      <c r="A1114" s="86"/>
      <c r="C1114" s="46"/>
    </row>
    <row r="1115">
      <c r="A1115" s="86"/>
      <c r="C1115" s="46"/>
    </row>
    <row r="1116">
      <c r="A1116" s="86"/>
      <c r="C1116" s="46"/>
    </row>
    <row r="1117">
      <c r="A1117" s="86"/>
      <c r="C1117" s="46"/>
    </row>
    <row r="1118">
      <c r="A1118" s="86"/>
      <c r="C1118" s="46"/>
    </row>
    <row r="1119">
      <c r="A1119" s="86"/>
      <c r="C1119" s="46"/>
    </row>
    <row r="1120">
      <c r="A1120" s="86"/>
      <c r="C1120" s="46"/>
    </row>
    <row r="1121">
      <c r="A1121" s="86"/>
      <c r="C1121" s="46"/>
    </row>
    <row r="1122">
      <c r="A1122" s="86"/>
      <c r="C1122" s="46"/>
    </row>
    <row r="1123">
      <c r="A1123" s="86"/>
      <c r="C1123" s="46"/>
    </row>
    <row r="1124">
      <c r="A1124" s="86"/>
      <c r="C1124" s="46"/>
    </row>
    <row r="1125">
      <c r="A1125" s="86"/>
      <c r="C1125" s="46"/>
    </row>
    <row r="1126">
      <c r="A1126" s="86"/>
      <c r="C1126" s="46"/>
    </row>
    <row r="1127">
      <c r="A1127" s="86"/>
      <c r="C1127" s="46"/>
    </row>
    <row r="1128">
      <c r="A1128" s="86"/>
      <c r="C1128" s="46"/>
    </row>
    <row r="1129">
      <c r="A1129" s="86"/>
      <c r="C1129" s="46"/>
    </row>
    <row r="1130">
      <c r="A1130" s="86"/>
      <c r="C1130" s="46"/>
    </row>
    <row r="1131">
      <c r="A1131" s="86"/>
      <c r="C1131" s="46"/>
    </row>
    <row r="1132">
      <c r="A1132" s="86"/>
      <c r="C1132" s="46"/>
    </row>
    <row r="1133">
      <c r="A1133" s="86"/>
      <c r="C1133" s="46"/>
    </row>
    <row r="1134">
      <c r="A1134" s="86"/>
      <c r="C1134" s="46"/>
    </row>
    <row r="1135">
      <c r="A1135" s="86"/>
      <c r="C1135" s="46"/>
    </row>
    <row r="1136">
      <c r="A1136" s="86"/>
      <c r="C1136" s="46"/>
    </row>
    <row r="1137">
      <c r="A1137" s="86"/>
      <c r="C1137" s="46"/>
    </row>
    <row r="1138">
      <c r="A1138" s="86"/>
      <c r="C1138" s="46"/>
    </row>
    <row r="1139">
      <c r="A1139" s="86"/>
      <c r="C1139" s="46"/>
    </row>
    <row r="1140">
      <c r="A1140" s="86"/>
      <c r="C1140" s="46"/>
    </row>
    <row r="1141">
      <c r="A1141" s="86"/>
      <c r="C1141" s="46"/>
    </row>
    <row r="1142">
      <c r="A1142" s="86"/>
      <c r="C1142" s="46"/>
    </row>
    <row r="1143">
      <c r="A1143" s="86"/>
      <c r="C1143" s="46"/>
    </row>
    <row r="1144">
      <c r="A1144" s="86"/>
      <c r="C1144" s="46"/>
    </row>
    <row r="1145">
      <c r="A1145" s="86"/>
      <c r="C1145" s="46"/>
    </row>
    <row r="1146">
      <c r="A1146" s="86"/>
      <c r="C1146" s="46"/>
    </row>
    <row r="1147">
      <c r="A1147" s="86"/>
      <c r="C1147" s="46"/>
    </row>
    <row r="1148">
      <c r="A1148" s="86"/>
      <c r="C1148" s="46"/>
    </row>
    <row r="1149">
      <c r="A1149" s="86"/>
      <c r="C1149" s="46"/>
    </row>
    <row r="1150">
      <c r="A1150" s="86"/>
      <c r="C1150" s="46"/>
    </row>
    <row r="1151">
      <c r="A1151" s="86"/>
      <c r="C1151" s="46"/>
    </row>
    <row r="1152">
      <c r="A1152" s="86"/>
      <c r="C1152" s="46"/>
    </row>
    <row r="1153">
      <c r="A1153" s="86"/>
      <c r="C1153" s="46"/>
    </row>
    <row r="1154">
      <c r="A1154" s="86"/>
      <c r="C1154" s="46"/>
    </row>
  </sheetData>
  <dataValidations>
    <dataValidation type="list" allowBlank="1" showErrorMessage="1" sqref="D2:D175">
      <formula1>#REF!</formula1>
    </dataValidation>
    <dataValidation type="custom" allowBlank="1" showDropDown="1" sqref="A2:A175">
      <formula1>OR(NOT(ISERROR(DATEVALUE(A2))), AND(ISNUMBER(A2), LEFT(CELL("format", A2))="D"))</formula1>
    </dataValidation>
    <dataValidation type="custom" allowBlank="1" showDropDown="1" sqref="C2:C175">
      <formula1>AND(ISNUMBER(C2),(NOT(OR(NOT(ISERROR(DATEVALUE(C2))), AND(ISNUMBER(C2), LEFT(CELL("format", C2))="D")))))</formula1>
    </dataValidation>
    <dataValidation type="list" allowBlank="1" sqref="G2:G175">
      <formula1>#REF!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63"/>
    <col customWidth="1" min="3" max="3" width="13.38"/>
    <col customWidth="1" min="4" max="4" width="18.63"/>
    <col customWidth="1" min="5" max="5" width="14.88"/>
    <col customWidth="1" min="6" max="6" width="22.38"/>
    <col customWidth="1" min="8" max="8" width="15.13"/>
    <col customWidth="1" min="9" max="9" width="22.38"/>
    <col customWidth="1" min="12" max="12" width="13.88"/>
    <col customWidth="1" min="13" max="13" width="25.75"/>
    <col customWidth="1" min="14" max="14" width="13.5"/>
    <col customWidth="1" min="16" max="16" width="23.75"/>
    <col customWidth="1" min="19" max="19" width="23.75"/>
  </cols>
  <sheetData>
    <row r="1">
      <c r="A1" s="105" t="s">
        <v>132</v>
      </c>
      <c r="B1" s="37">
        <v>46073.0</v>
      </c>
    </row>
    <row r="2">
      <c r="A2" s="38"/>
      <c r="B2" s="38"/>
      <c r="C2" s="38"/>
      <c r="D2" s="38"/>
      <c r="E2" s="38"/>
      <c r="F2" s="38"/>
      <c r="P2" s="39" t="s">
        <v>89</v>
      </c>
      <c r="Q2" s="40"/>
    </row>
    <row r="3" ht="22.5" customHeight="1">
      <c r="A3" s="41" t="s">
        <v>90</v>
      </c>
      <c r="B3" s="42" t="s">
        <v>91</v>
      </c>
      <c r="C3" s="42" t="s">
        <v>92</v>
      </c>
      <c r="D3" s="42" t="s">
        <v>93</v>
      </c>
      <c r="E3" s="42" t="s">
        <v>94</v>
      </c>
      <c r="F3" s="42" t="s">
        <v>95</v>
      </c>
      <c r="H3" s="43" t="s">
        <v>96</v>
      </c>
      <c r="I3" s="43" t="s">
        <v>91</v>
      </c>
      <c r="J3" s="43" t="s">
        <v>97</v>
      </c>
      <c r="L3" s="43" t="s">
        <v>98</v>
      </c>
      <c r="M3" s="43" t="s">
        <v>29</v>
      </c>
      <c r="N3" s="43" t="s">
        <v>99</v>
      </c>
      <c r="P3" s="44" t="s">
        <v>90</v>
      </c>
      <c r="Q3" s="106">
        <f>SUM(INGRESOS_2[INGRESOS])</f>
        <v>700</v>
      </c>
      <c r="S3" s="38" t="s">
        <v>100</v>
      </c>
      <c r="T3" s="46">
        <f>SUMIF(GASTOS_2[SOCIO],"Sebastián",GASTOS_2[GASTOS])</f>
        <v>0</v>
      </c>
    </row>
    <row r="4" ht="22.5" customHeight="1">
      <c r="A4" s="47">
        <f>IFERROR(__xludf.DUMMYFUNCTION("IFNA(FILTER(INGRESOS!L:L,INGRESOS!C:C=B1),0)"),700.0)</f>
        <v>700</v>
      </c>
      <c r="B4" s="48" t="str">
        <f>IFERROR(__xludf.DUMMYFUNCTION("IFNA(FILTER(INGRESOS!D:D,INGRESOS!C:C=B1),""-"")"),"Party")</f>
        <v>Party</v>
      </c>
      <c r="C4" s="49">
        <f>IFERROR(__xludf.DUMMYFUNCTION("IFNA(FILTER(INGRESOS!H:H,INGRESOS!C:C=B1),0)"),0.0)</f>
        <v>0</v>
      </c>
      <c r="D4" s="48" t="str">
        <f>IFERROR(__xludf.DUMMYFUNCTION("IFNA(FILTER(INGRESOS!I:I,INGRESOS!C:C=B1),""-"")"),"")</f>
        <v/>
      </c>
      <c r="E4" s="49">
        <f>IFERROR(__xludf.DUMMYFUNCTION("IFNA(FILTER(INGRESOS!J:J,INGRESOS!C:C=B1),0)"),700.0)</f>
        <v>700</v>
      </c>
      <c r="F4" s="48" t="str">
        <f>IFERROR(__xludf.DUMMYFUNCTION("IFNA(FILTER(INGRESOS!K:K,INGRESOS!C:C=B1),""-"")"),"Sebastián")</f>
        <v>Sebastián</v>
      </c>
      <c r="H4" s="49">
        <f>IFERROR(__xludf.DUMMYFUNCTION("IFNA(FILTER(GASTOS!C:C,GASTOS!A:A=B1),0)"),0.0)</f>
        <v>0</v>
      </c>
      <c r="I4" s="48" t="str">
        <f>IFERROR(__xludf.DUMMYFUNCTION("IFNA(FILTER(GASTOS!B:B,GASTOS!A:A=B1),""-"")"),"-")</f>
        <v>-</v>
      </c>
      <c r="J4" s="48" t="str">
        <f>IFERROR(__xludf.DUMMYFUNCTION("IFNA(FILTER(GASTOS!D:D,GASTOS!A:A=B1),""-"")"),"-")</f>
        <v>-</v>
      </c>
      <c r="L4" s="50">
        <f>IFERROR(__xludf.DUMMYFUNCTION("ifna(FILTER(SALARIOS!H:H,SALARIOS!A:A=$B$1),0)"),50.0)</f>
        <v>50</v>
      </c>
      <c r="M4" s="48" t="str">
        <f>IFERROR(__xludf.DUMMYFUNCTION("IFNA(FILTER(SALARIOS!D:D,SALARIOS!A:A=$B$1),""-"")"),"Instalar sonido")</f>
        <v>Instalar sonido</v>
      </c>
      <c r="N4" s="48" t="str">
        <f>IFERROR(__xludf.DUMMYFUNCTION("IFNA(FILTER(SALARIOS!B:B,SALARIOS!A:A=$B$1),""-"")"),"Sebastián")</f>
        <v>Sebastián</v>
      </c>
      <c r="P4" s="44" t="s">
        <v>96</v>
      </c>
      <c r="Q4" s="107">
        <f>SUM(GASTOS_2[GASTOS])</f>
        <v>0</v>
      </c>
      <c r="S4" s="38" t="s">
        <v>101</v>
      </c>
      <c r="T4" s="46">
        <f>SUMIF(GASTOS_2[SOCIO],"Carlos",GASTOS_2[GASTOS])</f>
        <v>0</v>
      </c>
    </row>
    <row r="5" ht="22.5" customHeight="1">
      <c r="A5" s="47"/>
      <c r="B5" s="48"/>
      <c r="C5" s="49"/>
      <c r="D5" s="48"/>
      <c r="E5" s="49"/>
      <c r="F5" s="48"/>
      <c r="H5" s="49"/>
      <c r="I5" s="48"/>
      <c r="J5" s="48"/>
      <c r="L5" s="50"/>
      <c r="M5" s="48"/>
      <c r="N5" s="48"/>
      <c r="P5" s="44" t="s">
        <v>102</v>
      </c>
      <c r="Q5" s="45">
        <f>SUM(SALARIOS_2[Salario])</f>
        <v>50</v>
      </c>
      <c r="S5" s="38" t="s">
        <v>104</v>
      </c>
      <c r="T5" s="46">
        <f>SUMIF(GASTOS_2[SOCIO],"Angel",GASTOS_2[GASTOS])</f>
        <v>0</v>
      </c>
    </row>
    <row r="6" ht="22.5" customHeight="1">
      <c r="A6" s="47"/>
      <c r="B6" s="48"/>
      <c r="C6" s="49"/>
      <c r="D6" s="48"/>
      <c r="E6" s="49"/>
      <c r="F6" s="48"/>
      <c r="H6" s="49"/>
      <c r="I6" s="48"/>
      <c r="J6" s="48"/>
      <c r="L6" s="50"/>
      <c r="M6" s="48"/>
      <c r="N6" s="48"/>
      <c r="P6" s="44" t="s">
        <v>105</v>
      </c>
      <c r="Q6" s="107">
        <f>Q4+Q5</f>
        <v>50</v>
      </c>
      <c r="S6" s="38" t="s">
        <v>106</v>
      </c>
      <c r="T6" s="46">
        <f>SUMIF(SALARIOS_2[Trabajador],"Sebastián",SALARIOS_2[Salario])</f>
        <v>50</v>
      </c>
    </row>
    <row r="7" ht="22.5" customHeight="1">
      <c r="A7" s="47"/>
      <c r="B7" s="48"/>
      <c r="C7" s="49"/>
      <c r="D7" s="48"/>
      <c r="E7" s="49"/>
      <c r="F7" s="48"/>
      <c r="H7" s="49"/>
      <c r="I7" s="48"/>
      <c r="J7" s="48"/>
      <c r="L7" s="50"/>
      <c r="M7" s="48"/>
      <c r="N7" s="48"/>
      <c r="P7" s="44" t="s">
        <v>107</v>
      </c>
      <c r="Q7" s="106">
        <f>Q3-Q6</f>
        <v>650</v>
      </c>
      <c r="S7" s="38" t="s">
        <v>108</v>
      </c>
      <c r="T7" s="46">
        <f>Q5-T6</f>
        <v>0</v>
      </c>
    </row>
    <row r="8" ht="22.5" customHeight="1">
      <c r="A8" s="47"/>
      <c r="B8" s="48"/>
      <c r="C8" s="49"/>
      <c r="D8" s="48"/>
      <c r="E8" s="49"/>
      <c r="F8" s="48"/>
      <c r="H8" s="49"/>
      <c r="I8" s="48"/>
      <c r="J8" s="48"/>
      <c r="L8" s="50"/>
      <c r="M8" s="48"/>
      <c r="N8" s="48"/>
      <c r="P8" s="44" t="s">
        <v>109</v>
      </c>
      <c r="Q8" s="45">
        <f>Q7/2</f>
        <v>325</v>
      </c>
      <c r="S8" s="38" t="s">
        <v>110</v>
      </c>
      <c r="T8" s="46">
        <f>SUMIF(INGRESOS_2[RECIBIÓ ANTICIPO],"Sebastián",INGRESOS_2[ANTICIPO])+SUMIF(INGRESOS_2[RECIBIÓ LIQUIDACIÓN],"Sebastián",INGRESOS_2[LIQUIDACIÓN])</f>
        <v>700</v>
      </c>
    </row>
    <row r="9" ht="22.5" customHeight="1">
      <c r="A9" s="47"/>
      <c r="B9" s="48"/>
      <c r="C9" s="49"/>
      <c r="D9" s="48"/>
      <c r="E9" s="49"/>
      <c r="F9" s="48"/>
      <c r="H9" s="49"/>
      <c r="I9" s="48"/>
      <c r="J9" s="48"/>
      <c r="L9" s="50"/>
      <c r="M9" s="48"/>
      <c r="N9" s="48"/>
      <c r="P9" s="44" t="s">
        <v>111</v>
      </c>
      <c r="Q9" s="51">
        <f>Q8+T6+T3-T8</f>
        <v>-325</v>
      </c>
      <c r="S9" s="38" t="s">
        <v>112</v>
      </c>
      <c r="T9" s="46">
        <f>SUMIF(INGRESOS_2[RECIBIÓ ANTICIPO],"Carlos",INGRESOS_2[ANTICIPO])+SUMIF(INGRESOS_2[RECIBIÓ LIQUIDACIÓN],"Carlos",INGRESOS_2[LIQUIDACIÓN])</f>
        <v>0</v>
      </c>
    </row>
    <row r="10" ht="22.5" customHeight="1">
      <c r="A10" s="47"/>
      <c r="B10" s="48"/>
      <c r="C10" s="49"/>
      <c r="D10" s="48"/>
      <c r="E10" s="49"/>
      <c r="F10" s="48"/>
      <c r="H10" s="49"/>
      <c r="I10" s="48"/>
      <c r="J10" s="48"/>
      <c r="L10" s="50"/>
      <c r="M10" s="48"/>
      <c r="N10" s="48"/>
      <c r="P10" s="44" t="s">
        <v>113</v>
      </c>
      <c r="Q10" s="51">
        <f>Q8+T4+T5+T7-T9-T10</f>
        <v>325</v>
      </c>
      <c r="S10" s="38" t="s">
        <v>114</v>
      </c>
      <c r="T10" s="46">
        <f>SUMIF(INGRESOS_2[RECIBIÓ ANTICIPO],"Angel",INGRESOS_2[ANTICIPO])+SUMIF(INGRESOS_2[RECIBIÓ LIQUIDACIÓN],"Angel",INGRESOS_2[LIQUIDACIÓN])</f>
        <v>0</v>
      </c>
    </row>
    <row r="11" ht="22.5" customHeight="1">
      <c r="A11" s="47"/>
      <c r="B11" s="48"/>
      <c r="C11" s="49"/>
      <c r="D11" s="48"/>
      <c r="E11" s="49"/>
      <c r="F11" s="48"/>
      <c r="H11" s="49"/>
      <c r="I11" s="48"/>
      <c r="J11" s="48"/>
      <c r="L11" s="50"/>
      <c r="M11" s="48"/>
      <c r="N11" s="48"/>
      <c r="P11" s="44" t="s">
        <v>115</v>
      </c>
      <c r="Q11" s="52">
        <f>(Q7/Q3)</f>
        <v>0.9285714286</v>
      </c>
      <c r="S11" s="38" t="s">
        <v>116</v>
      </c>
      <c r="T11" s="46">
        <f>SUMIF(SALARIOS_2[Trabajador],"Angel",SALARIOS_2[Salario])</f>
        <v>0</v>
      </c>
    </row>
    <row r="12" ht="22.5" customHeight="1">
      <c r="A12" s="47"/>
      <c r="B12" s="48"/>
      <c r="C12" s="49"/>
      <c r="D12" s="48"/>
      <c r="E12" s="49"/>
      <c r="F12" s="48"/>
      <c r="H12" s="49"/>
      <c r="I12" s="48"/>
      <c r="J12" s="48"/>
      <c r="L12" s="50"/>
      <c r="M12" s="48"/>
      <c r="N12" s="48"/>
      <c r="S12" s="38" t="s">
        <v>117</v>
      </c>
      <c r="T12" s="46">
        <f>SUMIF(SALARIOS_2[Trabajador],"Carlos",SALARIOS_2[Salario])</f>
        <v>0</v>
      </c>
    </row>
    <row r="13" ht="22.5" customHeight="1">
      <c r="A13" s="47"/>
      <c r="B13" s="48"/>
      <c r="C13" s="49"/>
      <c r="D13" s="48"/>
      <c r="E13" s="49"/>
      <c r="F13" s="48"/>
      <c r="H13" s="49"/>
      <c r="I13" s="48"/>
      <c r="J13" s="48"/>
      <c r="L13" s="50"/>
      <c r="M13" s="48"/>
      <c r="N13" s="48"/>
    </row>
    <row r="14" ht="22.5" customHeight="1">
      <c r="A14" s="47"/>
      <c r="B14" s="48"/>
      <c r="C14" s="49"/>
      <c r="D14" s="48"/>
      <c r="E14" s="49"/>
      <c r="F14" s="48"/>
      <c r="H14" s="49"/>
      <c r="I14" s="48"/>
      <c r="J14" s="48"/>
      <c r="L14" s="50"/>
      <c r="M14" s="48"/>
      <c r="N14" s="48"/>
    </row>
    <row r="15" ht="22.5" customHeight="1">
      <c r="A15" s="47"/>
      <c r="B15" s="48"/>
      <c r="C15" s="49"/>
      <c r="D15" s="48"/>
      <c r="E15" s="49"/>
      <c r="F15" s="48"/>
      <c r="H15" s="49"/>
      <c r="I15" s="48"/>
      <c r="J15" s="48"/>
      <c r="L15" s="50"/>
      <c r="M15" s="48"/>
      <c r="N15" s="48"/>
      <c r="P15" s="53" t="s">
        <v>118</v>
      </c>
      <c r="Q15" s="40"/>
      <c r="S15" s="38" t="s">
        <v>119</v>
      </c>
      <c r="T15" s="38" t="s">
        <v>120</v>
      </c>
    </row>
    <row r="16" ht="22.5" customHeight="1">
      <c r="A16" s="47"/>
      <c r="B16" s="48"/>
      <c r="C16" s="49"/>
      <c r="D16" s="48"/>
      <c r="E16" s="49"/>
      <c r="F16" s="48"/>
      <c r="H16" s="49"/>
      <c r="I16" s="48"/>
      <c r="J16" s="48"/>
      <c r="L16" s="50"/>
      <c r="M16" s="48"/>
      <c r="N16" s="48"/>
      <c r="P16" s="54"/>
      <c r="Q16" s="54"/>
      <c r="S16" s="38"/>
      <c r="T16" s="38"/>
    </row>
    <row r="17" ht="22.5" customHeight="1">
      <c r="L17" s="50"/>
      <c r="M17" s="48"/>
      <c r="N17" s="48"/>
      <c r="P17" s="55" t="s">
        <v>121</v>
      </c>
      <c r="Q17" s="56">
        <f>Q8</f>
        <v>325</v>
      </c>
      <c r="S17" s="38">
        <v>209.0</v>
      </c>
      <c r="T17" s="38">
        <v>350.0</v>
      </c>
    </row>
    <row r="18" ht="22.5" customHeight="1">
      <c r="L18" s="50"/>
      <c r="M18" s="48"/>
      <c r="N18" s="48"/>
      <c r="P18" s="55" t="s">
        <v>122</v>
      </c>
      <c r="Q18" s="56">
        <f>Q17/2</f>
        <v>162.5</v>
      </c>
      <c r="S18" s="38">
        <v>1540.0</v>
      </c>
      <c r="T18" s="38">
        <v>603.0</v>
      </c>
    </row>
    <row r="19" ht="22.5" customHeight="1">
      <c r="L19" s="50"/>
      <c r="M19" s="48"/>
      <c r="N19" s="48"/>
      <c r="P19" s="57" t="s">
        <v>123</v>
      </c>
      <c r="Q19" s="56">
        <f>T9</f>
        <v>0</v>
      </c>
      <c r="S19" s="38">
        <v>3147.0</v>
      </c>
      <c r="T19" s="38">
        <v>225.5</v>
      </c>
    </row>
    <row r="20" ht="22.5" customHeight="1">
      <c r="L20" s="50"/>
      <c r="M20" s="48"/>
      <c r="N20" s="48"/>
      <c r="P20" s="57" t="s">
        <v>124</v>
      </c>
      <c r="Q20" s="56">
        <f>T10+Q10</f>
        <v>325</v>
      </c>
      <c r="S20" s="58">
        <f>SUM(S17:S19)</f>
        <v>4896</v>
      </c>
      <c r="T20" s="38">
        <v>1500.0</v>
      </c>
      <c r="V20" s="58">
        <f>S20-T22</f>
        <v>-1927.5</v>
      </c>
    </row>
    <row r="21" ht="22.5" customHeight="1">
      <c r="L21" s="50"/>
      <c r="M21" s="48"/>
      <c r="N21" s="48"/>
      <c r="P21" s="57" t="s">
        <v>125</v>
      </c>
      <c r="Q21" s="56">
        <f t="shared" ref="Q21:Q22" si="1">T4</f>
        <v>0</v>
      </c>
      <c r="T21" s="38">
        <v>4145.0</v>
      </c>
    </row>
    <row r="22" ht="22.5" customHeight="1">
      <c r="L22" s="50"/>
      <c r="M22" s="48"/>
      <c r="N22" s="48"/>
      <c r="P22" s="57" t="s">
        <v>104</v>
      </c>
      <c r="Q22" s="56">
        <f t="shared" si="1"/>
        <v>0</v>
      </c>
      <c r="T22" s="58">
        <f>SUM(T17:T21)</f>
        <v>6823.5</v>
      </c>
    </row>
    <row r="23" ht="22.5" customHeight="1">
      <c r="L23" s="50"/>
      <c r="M23" s="48"/>
      <c r="N23" s="48"/>
      <c r="P23" s="57" t="s">
        <v>353</v>
      </c>
      <c r="Q23" s="56">
        <f>T7-T11-T12</f>
        <v>0</v>
      </c>
    </row>
    <row r="24" ht="22.5" customHeight="1">
      <c r="L24" s="50"/>
      <c r="M24" s="48"/>
      <c r="N24" s="48"/>
      <c r="P24" s="57" t="s">
        <v>117</v>
      </c>
      <c r="Q24" s="59">
        <f>T12</f>
        <v>0</v>
      </c>
    </row>
    <row r="25" ht="22.5" customHeight="1">
      <c r="L25" s="50"/>
      <c r="M25" s="48"/>
      <c r="N25" s="48"/>
      <c r="P25" s="57" t="s">
        <v>116</v>
      </c>
      <c r="Q25" s="59">
        <f>T11</f>
        <v>0</v>
      </c>
    </row>
    <row r="26" ht="22.5" customHeight="1">
      <c r="L26" s="50"/>
      <c r="M26" s="48"/>
      <c r="N26" s="48"/>
      <c r="P26" s="57" t="s">
        <v>126</v>
      </c>
      <c r="Q26" s="59">
        <v>0.0</v>
      </c>
    </row>
    <row r="27" ht="22.5" customHeight="1">
      <c r="L27" s="50"/>
      <c r="M27" s="48"/>
      <c r="N27" s="48"/>
      <c r="P27" s="57" t="s">
        <v>127</v>
      </c>
      <c r="Q27" s="59">
        <v>0.0</v>
      </c>
    </row>
    <row r="28" ht="22.5" customHeight="1">
      <c r="L28" s="50"/>
      <c r="M28" s="48"/>
      <c r="N28" s="48"/>
      <c r="P28" s="60" t="s">
        <v>128</v>
      </c>
      <c r="Q28" s="61">
        <f>Q18+Q24+Q23+Q27+Q21-Q19</f>
        <v>162.5</v>
      </c>
    </row>
    <row r="29" ht="22.5" customHeight="1">
      <c r="L29" s="50"/>
      <c r="M29" s="48"/>
      <c r="N29" s="48"/>
      <c r="P29" s="60" t="s">
        <v>129</v>
      </c>
      <c r="Q29" s="61">
        <f>Q18+Q25+Q26+Q22-Q20</f>
        <v>-162.5</v>
      </c>
    </row>
    <row r="30" ht="22.5" customHeight="1">
      <c r="L30" s="50"/>
      <c r="M30" s="48"/>
      <c r="N30" s="48"/>
      <c r="Q30" s="46"/>
    </row>
    <row r="31" ht="22.5" customHeight="1">
      <c r="L31" s="50"/>
      <c r="M31" s="48"/>
      <c r="N31" s="48"/>
    </row>
    <row r="32" ht="22.5" customHeight="1">
      <c r="L32" s="50"/>
      <c r="M32" s="48"/>
      <c r="N32" s="48"/>
    </row>
    <row r="33" ht="22.5" customHeight="1">
      <c r="L33" s="50"/>
      <c r="M33" s="48"/>
      <c r="N33" s="48"/>
    </row>
    <row r="34" ht="22.5" customHeight="1">
      <c r="L34" s="50"/>
      <c r="M34" s="48"/>
      <c r="N34" s="48"/>
    </row>
    <row r="35" ht="22.5" customHeight="1">
      <c r="L35" s="50"/>
      <c r="M35" s="48"/>
      <c r="N35" s="48"/>
    </row>
    <row r="36" ht="22.5" customHeight="1">
      <c r="L36" s="50"/>
      <c r="M36" s="48"/>
      <c r="N36" s="48"/>
    </row>
    <row r="37" ht="22.5" customHeight="1">
      <c r="L37" s="50"/>
      <c r="M37" s="48"/>
      <c r="N37" s="48"/>
    </row>
    <row r="38" ht="22.5" customHeight="1">
      <c r="L38" s="50"/>
      <c r="M38" s="48"/>
      <c r="N38" s="48"/>
    </row>
    <row r="39" ht="22.5" customHeight="1">
      <c r="L39" s="50"/>
      <c r="M39" s="48"/>
      <c r="N39" s="48"/>
    </row>
    <row r="40" ht="22.5" customHeight="1">
      <c r="L40" s="50"/>
      <c r="M40" s="48"/>
      <c r="N40" s="48"/>
    </row>
    <row r="41" ht="22.5" customHeight="1">
      <c r="L41" s="50"/>
      <c r="M41" s="48"/>
      <c r="N41" s="48"/>
    </row>
    <row r="42" ht="22.5" customHeight="1">
      <c r="L42" s="50"/>
      <c r="M42" s="48"/>
      <c r="N42" s="48"/>
    </row>
    <row r="43" ht="22.5" customHeight="1">
      <c r="L43" s="50"/>
      <c r="M43" s="48"/>
      <c r="N43" s="48"/>
    </row>
    <row r="44" ht="22.5" customHeight="1">
      <c r="L44" s="50"/>
      <c r="M44" s="48"/>
      <c r="N44" s="48"/>
    </row>
    <row r="45" ht="22.5" customHeight="1">
      <c r="L45" s="50"/>
      <c r="M45" s="48"/>
      <c r="N45" s="48"/>
    </row>
    <row r="46" ht="22.5" customHeight="1">
      <c r="L46" s="50"/>
      <c r="M46" s="48"/>
      <c r="N46" s="48"/>
    </row>
    <row r="47" ht="22.5" customHeight="1">
      <c r="L47" s="50"/>
      <c r="M47" s="48"/>
      <c r="N47" s="48"/>
    </row>
    <row r="48" ht="22.5" customHeight="1">
      <c r="L48" s="50"/>
      <c r="M48" s="48"/>
      <c r="N48" s="48"/>
    </row>
    <row r="49" ht="22.5" customHeight="1">
      <c r="L49" s="50"/>
      <c r="M49" s="48"/>
      <c r="N49" s="48"/>
    </row>
    <row r="50" ht="22.5" customHeight="1">
      <c r="L50" s="50"/>
      <c r="M50" s="48"/>
      <c r="N50" s="48"/>
    </row>
    <row r="51" ht="22.5" customHeight="1">
      <c r="L51" s="50"/>
      <c r="M51" s="48"/>
      <c r="N51" s="48"/>
    </row>
    <row r="52" ht="22.5" customHeight="1">
      <c r="L52" s="50"/>
      <c r="M52" s="48"/>
      <c r="N52" s="48"/>
    </row>
    <row r="53" ht="22.5" customHeight="1">
      <c r="L53" s="50"/>
      <c r="M53" s="48"/>
      <c r="N53" s="48"/>
    </row>
  </sheetData>
  <mergeCells count="3">
    <mergeCell ref="B1:D1"/>
    <mergeCell ref="P2:Q2"/>
    <mergeCell ref="P15:Q15"/>
  </mergeCells>
  <conditionalFormatting sqref="Q9">
    <cfRule type="cellIs" dxfId="9" priority="1" operator="greaterThanOrEqual">
      <formula>0</formula>
    </cfRule>
  </conditionalFormatting>
  <conditionalFormatting sqref="Q9">
    <cfRule type="cellIs" dxfId="10" priority="2" operator="lessThan">
      <formula>0</formula>
    </cfRule>
  </conditionalFormatting>
  <conditionalFormatting sqref="Q10">
    <cfRule type="cellIs" dxfId="9" priority="3" operator="greaterThanOrEqual">
      <formula>0</formula>
    </cfRule>
  </conditionalFormatting>
  <conditionalFormatting sqref="Q10">
    <cfRule type="cellIs" dxfId="10" priority="4" operator="lessThan">
      <formula>0</formula>
    </cfRule>
  </conditionalFormatting>
  <conditionalFormatting sqref="Q28">
    <cfRule type="cellIs" dxfId="11" priority="5" operator="greaterThan">
      <formula>0</formula>
    </cfRule>
  </conditionalFormatting>
  <conditionalFormatting sqref="Q28">
    <cfRule type="cellIs" dxfId="12" priority="6" operator="lessThan">
      <formula>0</formula>
    </cfRule>
  </conditionalFormatting>
  <conditionalFormatting sqref="Q29">
    <cfRule type="cellIs" dxfId="11" priority="7" operator="greaterThan">
      <formula>0</formula>
    </cfRule>
  </conditionalFormatting>
  <conditionalFormatting sqref="Q29">
    <cfRule type="cellIs" dxfId="10" priority="8" operator="lessThan">
      <formula>0</formula>
    </cfRule>
  </conditionalFormatting>
  <dataValidations>
    <dataValidation type="list" allowBlank="1" showErrorMessage="1" sqref="B1">
      <formula1>INGRESOS!$C$2:$C$2191</formula1>
    </dataValidation>
    <dataValidation type="custom" allowBlank="1" showDropDown="1" sqref="H4:H16 A4:A16 C4:C16 E4:E16 L4:L53">
      <formula1>AND(ISNUMBER(A4),(NOT(OR(NOT(ISERROR(DATEVALUE(A4))), AND(ISNUMBER(A4), LEFT(CELL("format", A4))="D")))))</formula1>
    </dataValidation>
  </dataValidations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38" t="s">
        <v>29</v>
      </c>
    </row>
    <row r="2">
      <c r="A2" s="38" t="s">
        <v>42</v>
      </c>
    </row>
    <row r="3">
      <c r="A3" s="38" t="s">
        <v>47</v>
      </c>
    </row>
    <row r="4">
      <c r="A4" s="38" t="s">
        <v>52</v>
      </c>
    </row>
    <row r="5">
      <c r="A5" s="38" t="s">
        <v>57</v>
      </c>
    </row>
    <row r="6">
      <c r="A6" s="38" t="s">
        <v>62</v>
      </c>
    </row>
    <row r="7">
      <c r="A7" s="38" t="s">
        <v>67</v>
      </c>
    </row>
    <row r="8">
      <c r="A8" s="38" t="s">
        <v>71</v>
      </c>
    </row>
    <row r="9">
      <c r="A9" s="38" t="s">
        <v>74</v>
      </c>
    </row>
    <row r="10">
      <c r="A10" s="38" t="s">
        <v>77</v>
      </c>
    </row>
    <row r="11">
      <c r="A11" s="38" t="s">
        <v>80</v>
      </c>
    </row>
    <row r="12">
      <c r="A12" s="38" t="s">
        <v>82</v>
      </c>
    </row>
    <row r="13">
      <c r="A13" s="38" t="s">
        <v>83</v>
      </c>
    </row>
    <row r="14">
      <c r="A14" s="38" t="s">
        <v>84</v>
      </c>
    </row>
    <row r="15">
      <c r="A15" s="38" t="s">
        <v>85</v>
      </c>
    </row>
    <row r="16">
      <c r="A16" s="38" t="s">
        <v>86</v>
      </c>
    </row>
    <row r="17">
      <c r="A17" s="38" t="s">
        <v>87</v>
      </c>
    </row>
    <row r="18">
      <c r="A18" s="38" t="s">
        <v>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354</v>
      </c>
      <c r="B1" s="38" t="s">
        <v>355</v>
      </c>
    </row>
    <row r="2">
      <c r="A2" s="38" t="s">
        <v>41</v>
      </c>
    </row>
    <row r="3">
      <c r="A3" s="38" t="s">
        <v>46</v>
      </c>
    </row>
    <row r="4">
      <c r="A4" s="38" t="s">
        <v>51</v>
      </c>
    </row>
    <row r="5">
      <c r="A5" s="38" t="s">
        <v>56</v>
      </c>
    </row>
    <row r="6">
      <c r="A6" s="38" t="s">
        <v>61</v>
      </c>
    </row>
    <row r="7">
      <c r="A7" s="38" t="s">
        <v>66</v>
      </c>
    </row>
    <row r="8">
      <c r="A8" s="38" t="s">
        <v>70</v>
      </c>
    </row>
    <row r="9">
      <c r="A9" s="38" t="s">
        <v>73</v>
      </c>
    </row>
    <row r="10">
      <c r="A10" s="38" t="s">
        <v>76</v>
      </c>
    </row>
    <row r="11">
      <c r="A11" s="38" t="s">
        <v>79</v>
      </c>
    </row>
    <row r="12">
      <c r="A12" s="38" t="s">
        <v>81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38" t="s">
        <v>91</v>
      </c>
      <c r="B1" s="108" t="s">
        <v>356</v>
      </c>
    </row>
    <row r="2">
      <c r="A2" s="38" t="s">
        <v>199</v>
      </c>
      <c r="B2" s="108">
        <v>100.0</v>
      </c>
    </row>
    <row r="3">
      <c r="A3" s="38" t="s">
        <v>201</v>
      </c>
      <c r="B3" s="108">
        <v>100.0</v>
      </c>
    </row>
    <row r="4">
      <c r="A4" s="38" t="s">
        <v>198</v>
      </c>
      <c r="B4" s="108">
        <v>200.0</v>
      </c>
    </row>
    <row r="5">
      <c r="A5" s="38" t="s">
        <v>144</v>
      </c>
      <c r="B5" s="108">
        <v>150.0</v>
      </c>
    </row>
    <row r="6">
      <c r="A6" s="38" t="s">
        <v>141</v>
      </c>
      <c r="B6" s="108">
        <v>250.0</v>
      </c>
    </row>
    <row r="7">
      <c r="A7" s="38" t="s">
        <v>145</v>
      </c>
      <c r="B7" s="108">
        <v>350.0</v>
      </c>
    </row>
    <row r="8">
      <c r="A8" s="38" t="s">
        <v>146</v>
      </c>
      <c r="B8" s="108">
        <v>450.0</v>
      </c>
    </row>
    <row r="9">
      <c r="A9" s="38" t="s">
        <v>357</v>
      </c>
      <c r="B9" s="108">
        <v>550.0</v>
      </c>
    </row>
    <row r="10">
      <c r="A10" s="38" t="s">
        <v>358</v>
      </c>
      <c r="B10" s="108">
        <v>650.0</v>
      </c>
    </row>
    <row r="11">
      <c r="A11" s="38" t="s">
        <v>182</v>
      </c>
      <c r="B11" s="108">
        <v>45.0</v>
      </c>
    </row>
    <row r="12">
      <c r="A12" s="38" t="s">
        <v>193</v>
      </c>
      <c r="B12" s="108">
        <v>45.0</v>
      </c>
    </row>
    <row r="13">
      <c r="A13" s="38" t="s">
        <v>172</v>
      </c>
      <c r="B13" s="108">
        <v>90.0</v>
      </c>
    </row>
    <row r="14">
      <c r="A14" s="38" t="s">
        <v>188</v>
      </c>
      <c r="B14" s="108">
        <v>90.0</v>
      </c>
    </row>
    <row r="15">
      <c r="A15" s="38" t="s">
        <v>359</v>
      </c>
      <c r="B15" s="108">
        <v>180.0</v>
      </c>
    </row>
    <row r="16">
      <c r="A16" s="38" t="s">
        <v>237</v>
      </c>
      <c r="B16" s="108">
        <v>45.0</v>
      </c>
    </row>
    <row r="17">
      <c r="A17" s="38" t="s">
        <v>242</v>
      </c>
      <c r="B17" s="108">
        <v>45.0</v>
      </c>
    </row>
    <row r="18">
      <c r="A18" s="38" t="s">
        <v>215</v>
      </c>
      <c r="B18" s="108">
        <v>90.0</v>
      </c>
    </row>
    <row r="19">
      <c r="A19" s="38" t="s">
        <v>166</v>
      </c>
      <c r="B19" s="108">
        <v>90.0</v>
      </c>
    </row>
    <row r="20">
      <c r="A20" s="38" t="s">
        <v>232</v>
      </c>
      <c r="B20" s="108">
        <v>180.0</v>
      </c>
    </row>
    <row r="21">
      <c r="A21" s="38" t="s">
        <v>211</v>
      </c>
      <c r="B21" s="108">
        <v>45.0</v>
      </c>
    </row>
    <row r="22">
      <c r="A22" s="38" t="s">
        <v>240</v>
      </c>
      <c r="B22" s="108">
        <v>45.0</v>
      </c>
    </row>
    <row r="23">
      <c r="A23" s="38" t="s">
        <v>194</v>
      </c>
      <c r="B23" s="108">
        <v>90.0</v>
      </c>
    </row>
    <row r="24">
      <c r="A24" s="38" t="s">
        <v>165</v>
      </c>
      <c r="B24" s="108">
        <v>90.0</v>
      </c>
    </row>
    <row r="25">
      <c r="A25" s="38" t="s">
        <v>225</v>
      </c>
      <c r="B25" s="108">
        <v>180.0</v>
      </c>
    </row>
    <row r="26">
      <c r="A26" s="38" t="s">
        <v>179</v>
      </c>
      <c r="B26" s="108">
        <v>50.0</v>
      </c>
    </row>
    <row r="27">
      <c r="A27" s="38" t="s">
        <v>231</v>
      </c>
      <c r="B27" s="108">
        <v>50.0</v>
      </c>
    </row>
    <row r="28">
      <c r="A28" s="38" t="s">
        <v>216</v>
      </c>
      <c r="B28" s="108">
        <v>100.0</v>
      </c>
    </row>
    <row r="29">
      <c r="A29" s="38" t="s">
        <v>218</v>
      </c>
      <c r="B29" s="108">
        <v>100.0</v>
      </c>
    </row>
    <row r="30">
      <c r="A30" s="38" t="s">
        <v>206</v>
      </c>
      <c r="B30" s="108">
        <v>200.0</v>
      </c>
    </row>
    <row r="31">
      <c r="A31" s="38" t="s">
        <v>227</v>
      </c>
      <c r="B31" s="108">
        <v>50.0</v>
      </c>
    </row>
    <row r="32">
      <c r="A32" s="38" t="s">
        <v>239</v>
      </c>
      <c r="B32" s="108">
        <v>50.0</v>
      </c>
    </row>
    <row r="33">
      <c r="A33" s="38" t="s">
        <v>217</v>
      </c>
      <c r="B33" s="108">
        <v>100.0</v>
      </c>
    </row>
    <row r="34">
      <c r="A34" s="38" t="s">
        <v>197</v>
      </c>
      <c r="B34" s="108">
        <v>100.0</v>
      </c>
    </row>
    <row r="35">
      <c r="A35" s="38" t="s">
        <v>360</v>
      </c>
      <c r="B35" s="108">
        <v>200.0</v>
      </c>
    </row>
    <row r="36">
      <c r="A36" s="38" t="s">
        <v>183</v>
      </c>
      <c r="B36" s="108">
        <v>50.0</v>
      </c>
    </row>
    <row r="37">
      <c r="A37" s="38" t="s">
        <v>192</v>
      </c>
      <c r="B37" s="108">
        <v>50.0</v>
      </c>
    </row>
    <row r="38">
      <c r="A38" s="38" t="s">
        <v>171</v>
      </c>
      <c r="B38" s="108">
        <v>100.0</v>
      </c>
    </row>
    <row r="39">
      <c r="A39" s="38" t="s">
        <v>189</v>
      </c>
      <c r="B39" s="108">
        <v>100.0</v>
      </c>
    </row>
    <row r="40">
      <c r="A40" s="38" t="s">
        <v>177</v>
      </c>
      <c r="B40" s="108">
        <v>200.0</v>
      </c>
    </row>
    <row r="41">
      <c r="A41" s="38" t="s">
        <v>212</v>
      </c>
      <c r="B41" s="108">
        <v>50.0</v>
      </c>
    </row>
    <row r="42">
      <c r="A42" s="38" t="s">
        <v>361</v>
      </c>
      <c r="B42" s="108">
        <v>50.0</v>
      </c>
    </row>
    <row r="43">
      <c r="A43" s="38" t="s">
        <v>214</v>
      </c>
      <c r="B43" s="108">
        <v>100.0</v>
      </c>
    </row>
    <row r="44">
      <c r="A44" s="38" t="s">
        <v>167</v>
      </c>
      <c r="B44" s="108">
        <v>100.0</v>
      </c>
    </row>
    <row r="45">
      <c r="A45" s="38" t="s">
        <v>222</v>
      </c>
      <c r="B45" s="108">
        <v>200.0</v>
      </c>
    </row>
    <row r="46">
      <c r="A46" s="38" t="s">
        <v>180</v>
      </c>
      <c r="B46" s="108">
        <v>50.0</v>
      </c>
    </row>
    <row r="47">
      <c r="A47" s="38" t="s">
        <v>249</v>
      </c>
      <c r="B47" s="108">
        <v>50.0</v>
      </c>
    </row>
    <row r="48">
      <c r="A48" s="38" t="s">
        <v>362</v>
      </c>
      <c r="B48" s="108">
        <v>100.0</v>
      </c>
    </row>
    <row r="49">
      <c r="A49" s="38" t="s">
        <v>169</v>
      </c>
      <c r="B49" s="108">
        <v>100.0</v>
      </c>
    </row>
    <row r="50">
      <c r="A50" s="38" t="s">
        <v>176</v>
      </c>
      <c r="B50" s="108">
        <v>200.0</v>
      </c>
    </row>
    <row r="51">
      <c r="A51" s="38" t="s">
        <v>178</v>
      </c>
      <c r="B51" s="108">
        <v>60.0</v>
      </c>
    </row>
    <row r="52">
      <c r="A52" s="38" t="s">
        <v>241</v>
      </c>
      <c r="B52" s="108">
        <v>60.0</v>
      </c>
    </row>
    <row r="53">
      <c r="A53" s="38" t="s">
        <v>236</v>
      </c>
      <c r="B53" s="108">
        <v>120.0</v>
      </c>
    </row>
    <row r="54">
      <c r="A54" s="38" t="s">
        <v>184</v>
      </c>
      <c r="B54" s="108">
        <v>120.0</v>
      </c>
    </row>
    <row r="55">
      <c r="A55" s="38" t="s">
        <v>258</v>
      </c>
      <c r="B55" s="108">
        <v>240.0</v>
      </c>
    </row>
    <row r="56">
      <c r="A56" s="38" t="s">
        <v>181</v>
      </c>
      <c r="B56" s="108">
        <v>75.0</v>
      </c>
    </row>
    <row r="57">
      <c r="A57" s="38" t="s">
        <v>168</v>
      </c>
      <c r="B57" s="108">
        <v>75.0</v>
      </c>
    </row>
    <row r="58">
      <c r="A58" s="38" t="s">
        <v>170</v>
      </c>
      <c r="B58" s="108">
        <v>150.0</v>
      </c>
    </row>
    <row r="59">
      <c r="A59" s="38" t="s">
        <v>200</v>
      </c>
      <c r="B59" s="108">
        <v>990.0</v>
      </c>
    </row>
    <row r="60">
      <c r="A60" s="38" t="s">
        <v>363</v>
      </c>
      <c r="B60" s="108">
        <v>654.0</v>
      </c>
    </row>
    <row r="61">
      <c r="A61" s="38" t="s">
        <v>208</v>
      </c>
      <c r="B61" s="108">
        <v>504.0</v>
      </c>
    </row>
    <row r="62">
      <c r="A62" s="38" t="s">
        <v>224</v>
      </c>
      <c r="B62" s="108">
        <v>336.0</v>
      </c>
    </row>
    <row r="63">
      <c r="A63" s="38" t="s">
        <v>234</v>
      </c>
      <c r="B63" s="108">
        <v>486.0</v>
      </c>
    </row>
    <row r="64">
      <c r="A64" s="38" t="s">
        <v>364</v>
      </c>
      <c r="B64" s="108">
        <v>100.0</v>
      </c>
    </row>
    <row r="65">
      <c r="A65" s="38" t="s">
        <v>255</v>
      </c>
      <c r="B65" s="108">
        <v>1140.0</v>
      </c>
    </row>
    <row r="66">
      <c r="A66" s="38" t="s">
        <v>365</v>
      </c>
      <c r="B66" s="108">
        <v>744.0</v>
      </c>
    </row>
    <row r="67">
      <c r="A67" s="38" t="s">
        <v>366</v>
      </c>
      <c r="B67" s="108">
        <v>594.0</v>
      </c>
    </row>
    <row r="68">
      <c r="A68" s="38" t="s">
        <v>367</v>
      </c>
      <c r="B68" s="108">
        <v>396.0</v>
      </c>
    </row>
    <row r="69">
      <c r="A69" s="38" t="s">
        <v>368</v>
      </c>
      <c r="B69" s="108">
        <v>546.0</v>
      </c>
    </row>
    <row r="70">
      <c r="A70" s="38" t="s">
        <v>369</v>
      </c>
      <c r="B70" s="108">
        <v>100.0</v>
      </c>
    </row>
    <row r="71">
      <c r="A71" s="38" t="s">
        <v>370</v>
      </c>
      <c r="B71" s="108">
        <v>798.0</v>
      </c>
    </row>
    <row r="72">
      <c r="A72" s="38" t="s">
        <v>371</v>
      </c>
      <c r="B72" s="108">
        <v>504.0</v>
      </c>
    </row>
    <row r="73">
      <c r="A73" s="38" t="s">
        <v>372</v>
      </c>
      <c r="B73" s="108">
        <v>432.0</v>
      </c>
    </row>
    <row r="74">
      <c r="A74" s="38" t="s">
        <v>373</v>
      </c>
      <c r="B74" s="108">
        <v>582.0</v>
      </c>
    </row>
    <row r="75">
      <c r="A75" s="38" t="s">
        <v>374</v>
      </c>
      <c r="B75" s="108">
        <v>100.0</v>
      </c>
    </row>
    <row r="76">
      <c r="A76" s="38" t="s">
        <v>233</v>
      </c>
      <c r="B76" s="108">
        <v>1290.0</v>
      </c>
    </row>
    <row r="77">
      <c r="A77" s="38" t="s">
        <v>173</v>
      </c>
      <c r="B77" s="108">
        <v>834.0</v>
      </c>
    </row>
    <row r="78">
      <c r="A78" s="38" t="s">
        <v>204</v>
      </c>
      <c r="B78" s="108">
        <v>684.0</v>
      </c>
    </row>
    <row r="79">
      <c r="A79" s="38" t="s">
        <v>226</v>
      </c>
      <c r="B79" s="108">
        <v>456.0</v>
      </c>
    </row>
    <row r="80">
      <c r="A80" s="38" t="s">
        <v>207</v>
      </c>
      <c r="B80" s="108">
        <v>606.0</v>
      </c>
    </row>
    <row r="81">
      <c r="A81" s="38" t="s">
        <v>235</v>
      </c>
      <c r="B81" s="108">
        <v>100.0</v>
      </c>
    </row>
    <row r="82">
      <c r="A82" s="38" t="s">
        <v>375</v>
      </c>
      <c r="B82" s="108">
        <v>960.0</v>
      </c>
    </row>
    <row r="83">
      <c r="A83" s="38" t="s">
        <v>174</v>
      </c>
      <c r="B83" s="108">
        <v>810.0</v>
      </c>
    </row>
    <row r="84">
      <c r="A84" s="38" t="s">
        <v>376</v>
      </c>
      <c r="B84" s="108">
        <v>540.0</v>
      </c>
    </row>
    <row r="85">
      <c r="A85" s="38" t="s">
        <v>175</v>
      </c>
      <c r="B85" s="108">
        <v>690.0</v>
      </c>
    </row>
    <row r="86">
      <c r="A86" s="38" t="s">
        <v>377</v>
      </c>
      <c r="B86" s="108">
        <v>150.0</v>
      </c>
    </row>
    <row r="87">
      <c r="A87" s="38" t="s">
        <v>243</v>
      </c>
      <c r="B87" s="108">
        <v>1050.0</v>
      </c>
    </row>
    <row r="88">
      <c r="A88" s="38" t="s">
        <v>378</v>
      </c>
      <c r="B88" s="108">
        <v>900.0</v>
      </c>
    </row>
    <row r="89">
      <c r="A89" s="38" t="s">
        <v>246</v>
      </c>
      <c r="B89" s="108">
        <v>600.0</v>
      </c>
    </row>
    <row r="90">
      <c r="A90" s="38" t="s">
        <v>379</v>
      </c>
      <c r="B90" s="108">
        <v>690.0</v>
      </c>
    </row>
    <row r="91">
      <c r="A91" s="38" t="s">
        <v>380</v>
      </c>
      <c r="B91" s="108">
        <v>150.0</v>
      </c>
    </row>
    <row r="92">
      <c r="A92" s="38" t="s">
        <v>244</v>
      </c>
      <c r="B92" s="108">
        <v>1230.0</v>
      </c>
    </row>
    <row r="93">
      <c r="A93" s="38" t="s">
        <v>185</v>
      </c>
      <c r="B93" s="108">
        <v>1080.0</v>
      </c>
    </row>
    <row r="94">
      <c r="A94" s="38" t="s">
        <v>187</v>
      </c>
      <c r="B94" s="108">
        <v>720.0</v>
      </c>
    </row>
    <row r="95">
      <c r="A95" s="38" t="s">
        <v>190</v>
      </c>
      <c r="B95" s="108">
        <v>870.0</v>
      </c>
    </row>
    <row r="96">
      <c r="A96" s="38" t="s">
        <v>245</v>
      </c>
      <c r="B96" s="108">
        <v>200.0</v>
      </c>
    </row>
    <row r="97">
      <c r="A97" s="38" t="s">
        <v>223</v>
      </c>
      <c r="B97" s="108">
        <v>100.0</v>
      </c>
    </row>
    <row r="98">
      <c r="A98" s="38" t="s">
        <v>248</v>
      </c>
      <c r="B98" s="108">
        <v>100.0</v>
      </c>
    </row>
    <row r="99">
      <c r="A99" s="38" t="s">
        <v>195</v>
      </c>
      <c r="B99" s="108">
        <v>150.0</v>
      </c>
    </row>
    <row r="100">
      <c r="A100" s="38" t="s">
        <v>254</v>
      </c>
      <c r="B100" s="108">
        <v>150.0</v>
      </c>
    </row>
    <row r="101">
      <c r="A101" s="38" t="s">
        <v>250</v>
      </c>
      <c r="B101" s="108">
        <v>150.0</v>
      </c>
    </row>
    <row r="102">
      <c r="A102" s="38" t="s">
        <v>251</v>
      </c>
      <c r="B102" s="108">
        <v>150.0</v>
      </c>
    </row>
    <row r="103">
      <c r="A103" s="38" t="s">
        <v>381</v>
      </c>
      <c r="B103" s="108">
        <v>112.5</v>
      </c>
    </row>
    <row r="104">
      <c r="A104" s="38" t="s">
        <v>382</v>
      </c>
      <c r="B104" s="108">
        <v>112.5</v>
      </c>
    </row>
    <row r="105">
      <c r="A105" s="38" t="s">
        <v>253</v>
      </c>
      <c r="B105" s="108">
        <v>225.0</v>
      </c>
    </row>
    <row r="106">
      <c r="A106" s="38" t="s">
        <v>383</v>
      </c>
      <c r="B106" s="108">
        <v>225.0</v>
      </c>
    </row>
    <row r="107">
      <c r="A107" s="38" t="s">
        <v>384</v>
      </c>
      <c r="B107" s="108">
        <v>225.0</v>
      </c>
    </row>
    <row r="108">
      <c r="A108" s="38" t="s">
        <v>385</v>
      </c>
      <c r="B108" s="108">
        <v>450.0</v>
      </c>
    </row>
    <row r="109">
      <c r="A109" s="38" t="s">
        <v>386</v>
      </c>
      <c r="B109" s="108">
        <v>200.0</v>
      </c>
    </row>
    <row r="110">
      <c r="A110" s="38" t="s">
        <v>387</v>
      </c>
      <c r="B110" s="108">
        <v>200.0</v>
      </c>
    </row>
    <row r="111">
      <c r="A111" s="38" t="s">
        <v>252</v>
      </c>
      <c r="B111" s="108">
        <v>400.0</v>
      </c>
    </row>
    <row r="112">
      <c r="A112" s="38" t="s">
        <v>186</v>
      </c>
      <c r="B112" s="108">
        <v>375.0</v>
      </c>
    </row>
    <row r="113">
      <c r="A113" s="38" t="s">
        <v>205</v>
      </c>
      <c r="B113" s="108">
        <v>375.0</v>
      </c>
    </row>
    <row r="114">
      <c r="A114" s="38" t="s">
        <v>221</v>
      </c>
      <c r="B114" s="108">
        <v>750.0</v>
      </c>
    </row>
    <row r="115">
      <c r="A115" s="38" t="s">
        <v>228</v>
      </c>
      <c r="B115" s="108">
        <v>525.0</v>
      </c>
    </row>
    <row r="116">
      <c r="A116" s="38" t="s">
        <v>230</v>
      </c>
      <c r="B116" s="108">
        <v>525.0</v>
      </c>
    </row>
    <row r="117">
      <c r="A117" s="38" t="s">
        <v>229</v>
      </c>
      <c r="B117" s="108">
        <v>1050.0</v>
      </c>
    </row>
    <row r="118">
      <c r="A118" s="38" t="s">
        <v>209</v>
      </c>
      <c r="B118" s="108">
        <v>150.0</v>
      </c>
    </row>
    <row r="119">
      <c r="A119" s="38" t="s">
        <v>210</v>
      </c>
      <c r="B119" s="108">
        <v>150.0</v>
      </c>
    </row>
    <row r="120">
      <c r="A120" s="38" t="s">
        <v>388</v>
      </c>
      <c r="B120" s="108">
        <v>300.0</v>
      </c>
    </row>
    <row r="121">
      <c r="A121" s="38" t="s">
        <v>389</v>
      </c>
      <c r="B121" s="108">
        <v>300.0</v>
      </c>
    </row>
    <row r="122">
      <c r="A122" s="38" t="s">
        <v>390</v>
      </c>
      <c r="B122" s="108">
        <v>600.0</v>
      </c>
    </row>
    <row r="123">
      <c r="A123" s="38" t="s">
        <v>391</v>
      </c>
      <c r="B123" s="108">
        <v>900.0</v>
      </c>
    </row>
    <row r="124">
      <c r="A124" s="38" t="s">
        <v>392</v>
      </c>
      <c r="B124" s="108">
        <v>1200.0</v>
      </c>
    </row>
    <row r="125">
      <c r="A125" s="38" t="s">
        <v>393</v>
      </c>
      <c r="B125" s="108">
        <v>1500.0</v>
      </c>
    </row>
    <row r="126">
      <c r="A126" s="38" t="s">
        <v>203</v>
      </c>
      <c r="B126" s="108">
        <v>250.0</v>
      </c>
    </row>
    <row r="127">
      <c r="A127" s="38" t="s">
        <v>164</v>
      </c>
      <c r="B127" s="108">
        <v>100.0</v>
      </c>
    </row>
    <row r="128">
      <c r="A128" s="38" t="s">
        <v>196</v>
      </c>
      <c r="B128" s="108">
        <v>100.0</v>
      </c>
    </row>
    <row r="129">
      <c r="A129" s="38" t="s">
        <v>219</v>
      </c>
      <c r="B129" s="108">
        <v>60.0</v>
      </c>
    </row>
    <row r="130">
      <c r="A130" s="38" t="s">
        <v>259</v>
      </c>
      <c r="B130" s="108">
        <v>60.0</v>
      </c>
    </row>
    <row r="131">
      <c r="A131" s="38" t="s">
        <v>213</v>
      </c>
      <c r="B131" s="108">
        <v>60.0</v>
      </c>
    </row>
    <row r="132">
      <c r="A132" s="38" t="s">
        <v>394</v>
      </c>
      <c r="B132" s="108">
        <v>70.0</v>
      </c>
    </row>
    <row r="133">
      <c r="A133" s="38" t="s">
        <v>395</v>
      </c>
      <c r="B133" s="108">
        <v>70.0</v>
      </c>
    </row>
    <row r="134">
      <c r="A134" s="38" t="s">
        <v>247</v>
      </c>
      <c r="B134" s="108">
        <v>80.0</v>
      </c>
    </row>
    <row r="135">
      <c r="A135" s="38" t="s">
        <v>396</v>
      </c>
      <c r="B135" s="108">
        <v>80.0</v>
      </c>
    </row>
    <row r="136">
      <c r="A136" s="38" t="s">
        <v>397</v>
      </c>
      <c r="B136" s="108">
        <v>80.0</v>
      </c>
    </row>
    <row r="137">
      <c r="A137" s="38" t="s">
        <v>398</v>
      </c>
      <c r="B137" s="108">
        <v>80.0</v>
      </c>
    </row>
    <row r="138">
      <c r="A138" s="38" t="s">
        <v>257</v>
      </c>
      <c r="B138" s="108">
        <v>90.0</v>
      </c>
    </row>
    <row r="139">
      <c r="A139" s="38" t="s">
        <v>399</v>
      </c>
      <c r="B139" s="108">
        <v>100.0</v>
      </c>
    </row>
    <row r="140">
      <c r="A140" s="38" t="s">
        <v>220</v>
      </c>
      <c r="B140" s="108">
        <v>150.0</v>
      </c>
    </row>
    <row r="141">
      <c r="A141" s="38" t="s">
        <v>202</v>
      </c>
      <c r="B141" s="108">
        <v>200.0</v>
      </c>
    </row>
    <row r="142">
      <c r="A142" s="38" t="s">
        <v>256</v>
      </c>
      <c r="B142" s="108">
        <v>250.0</v>
      </c>
    </row>
    <row r="143">
      <c r="A143" s="38" t="s">
        <v>400</v>
      </c>
      <c r="B143" s="108">
        <v>150.0</v>
      </c>
    </row>
    <row r="144">
      <c r="A144" s="38" t="s">
        <v>401</v>
      </c>
      <c r="B144" s="108">
        <v>200.0</v>
      </c>
    </row>
    <row r="145">
      <c r="A145" s="38" t="s">
        <v>402</v>
      </c>
      <c r="B145" s="108">
        <v>250.0</v>
      </c>
    </row>
    <row r="146">
      <c r="A146" s="38" t="s">
        <v>403</v>
      </c>
      <c r="B146" s="108">
        <v>300.0</v>
      </c>
    </row>
    <row r="147">
      <c r="A147" s="38" t="s">
        <v>191</v>
      </c>
      <c r="B147" s="108">
        <v>0.0</v>
      </c>
    </row>
    <row r="148">
      <c r="A148" s="38" t="s">
        <v>404</v>
      </c>
      <c r="B148" s="108">
        <v>350.0</v>
      </c>
    </row>
    <row r="149">
      <c r="A149" s="38" t="s">
        <v>405</v>
      </c>
      <c r="B149" s="108">
        <v>400.0</v>
      </c>
    </row>
    <row r="150">
      <c r="B150" s="46"/>
    </row>
    <row r="151">
      <c r="B151" s="46"/>
    </row>
    <row r="152">
      <c r="B152" s="46"/>
    </row>
    <row r="153">
      <c r="B153" s="46"/>
    </row>
    <row r="154">
      <c r="B154" s="46"/>
    </row>
    <row r="155">
      <c r="B155" s="46"/>
    </row>
    <row r="156">
      <c r="B156" s="46"/>
    </row>
    <row r="157">
      <c r="B157" s="46"/>
    </row>
    <row r="158">
      <c r="B158" s="46"/>
    </row>
    <row r="159">
      <c r="B159" s="46"/>
    </row>
    <row r="160">
      <c r="B160" s="46"/>
    </row>
    <row r="161">
      <c r="B161" s="46"/>
    </row>
    <row r="162">
      <c r="B162" s="46"/>
    </row>
    <row r="163">
      <c r="B163" s="46"/>
    </row>
    <row r="164">
      <c r="B164" s="46"/>
    </row>
    <row r="165">
      <c r="B165" s="46"/>
    </row>
    <row r="166">
      <c r="B166" s="46"/>
    </row>
    <row r="167">
      <c r="B167" s="46"/>
    </row>
    <row r="168">
      <c r="B168" s="46"/>
    </row>
    <row r="169">
      <c r="B169" s="46"/>
    </row>
    <row r="170">
      <c r="B170" s="46"/>
    </row>
    <row r="171">
      <c r="B171" s="46"/>
    </row>
    <row r="172">
      <c r="B172" s="46"/>
    </row>
    <row r="173">
      <c r="B173" s="46"/>
    </row>
    <row r="174">
      <c r="B174" s="46"/>
    </row>
    <row r="175">
      <c r="B175" s="46"/>
    </row>
    <row r="176">
      <c r="B176" s="46"/>
    </row>
    <row r="177">
      <c r="B177" s="46"/>
    </row>
    <row r="178">
      <c r="B178" s="46"/>
    </row>
    <row r="179">
      <c r="B179" s="46"/>
    </row>
    <row r="180">
      <c r="B180" s="46"/>
    </row>
    <row r="181">
      <c r="B181" s="46"/>
    </row>
    <row r="182">
      <c r="B182" s="46"/>
    </row>
    <row r="183">
      <c r="B183" s="46"/>
    </row>
    <row r="184">
      <c r="B184" s="46"/>
    </row>
    <row r="185">
      <c r="B185" s="46"/>
    </row>
    <row r="186">
      <c r="B186" s="46"/>
    </row>
    <row r="187">
      <c r="B187" s="46"/>
    </row>
    <row r="188">
      <c r="B188" s="46"/>
    </row>
    <row r="189">
      <c r="B189" s="46"/>
    </row>
    <row r="190">
      <c r="B190" s="46"/>
    </row>
    <row r="191">
      <c r="B191" s="46"/>
    </row>
    <row r="192">
      <c r="B192" s="46"/>
    </row>
    <row r="193">
      <c r="B193" s="46"/>
    </row>
    <row r="194">
      <c r="B194" s="46"/>
    </row>
    <row r="195">
      <c r="B195" s="46"/>
    </row>
    <row r="196">
      <c r="B196" s="46"/>
    </row>
    <row r="197">
      <c r="B197" s="46"/>
    </row>
    <row r="198">
      <c r="B198" s="46"/>
    </row>
    <row r="199">
      <c r="B199" s="46"/>
    </row>
    <row r="200">
      <c r="B200" s="46"/>
    </row>
    <row r="201">
      <c r="B201" s="46"/>
    </row>
    <row r="202">
      <c r="B202" s="46"/>
    </row>
    <row r="203">
      <c r="B203" s="46"/>
    </row>
    <row r="204">
      <c r="B204" s="46"/>
    </row>
    <row r="205">
      <c r="B205" s="46"/>
    </row>
    <row r="206">
      <c r="B206" s="46"/>
    </row>
    <row r="207">
      <c r="B207" s="46"/>
    </row>
    <row r="208">
      <c r="B208" s="46"/>
    </row>
    <row r="209">
      <c r="B209" s="46"/>
    </row>
    <row r="210">
      <c r="B210" s="46"/>
    </row>
    <row r="211">
      <c r="B211" s="46"/>
    </row>
    <row r="212">
      <c r="B212" s="46"/>
    </row>
    <row r="213">
      <c r="B213" s="46"/>
    </row>
    <row r="214">
      <c r="B214" s="46"/>
    </row>
    <row r="215">
      <c r="B215" s="46"/>
    </row>
    <row r="216">
      <c r="B216" s="46"/>
    </row>
    <row r="217">
      <c r="B217" s="46"/>
    </row>
    <row r="218">
      <c r="B218" s="46"/>
    </row>
    <row r="219">
      <c r="B219" s="46"/>
    </row>
    <row r="220">
      <c r="B220" s="46"/>
    </row>
    <row r="221">
      <c r="B221" s="46"/>
    </row>
    <row r="222">
      <c r="B222" s="46"/>
    </row>
    <row r="223">
      <c r="B223" s="46"/>
    </row>
    <row r="224">
      <c r="B224" s="46"/>
    </row>
    <row r="225">
      <c r="B225" s="46"/>
    </row>
    <row r="226">
      <c r="B226" s="46"/>
    </row>
    <row r="227">
      <c r="B227" s="46"/>
    </row>
    <row r="228">
      <c r="B228" s="46"/>
    </row>
    <row r="229">
      <c r="B229" s="46"/>
    </row>
    <row r="230">
      <c r="B230" s="46"/>
    </row>
    <row r="231">
      <c r="B231" s="46"/>
    </row>
    <row r="232">
      <c r="B232" s="46"/>
    </row>
    <row r="233">
      <c r="B233" s="46"/>
    </row>
    <row r="234">
      <c r="B234" s="46"/>
    </row>
    <row r="235">
      <c r="B235" s="46"/>
    </row>
    <row r="236">
      <c r="B236" s="46"/>
    </row>
    <row r="237">
      <c r="B237" s="46"/>
    </row>
    <row r="238">
      <c r="B238" s="46"/>
    </row>
    <row r="239">
      <c r="B239" s="46"/>
    </row>
    <row r="240">
      <c r="B240" s="46"/>
    </row>
    <row r="241">
      <c r="B241" s="46"/>
    </row>
    <row r="242">
      <c r="B242" s="46"/>
    </row>
    <row r="243">
      <c r="B243" s="46"/>
    </row>
    <row r="244">
      <c r="B244" s="46"/>
    </row>
    <row r="245">
      <c r="B245" s="46"/>
    </row>
    <row r="246">
      <c r="B246" s="46"/>
    </row>
    <row r="247">
      <c r="B247" s="46"/>
    </row>
    <row r="248">
      <c r="B248" s="46"/>
    </row>
    <row r="249">
      <c r="B249" s="46"/>
    </row>
    <row r="250">
      <c r="B250" s="46"/>
    </row>
    <row r="251">
      <c r="B251" s="46"/>
    </row>
    <row r="252">
      <c r="B252" s="46"/>
    </row>
    <row r="253">
      <c r="B253" s="46"/>
    </row>
    <row r="254">
      <c r="B254" s="46"/>
    </row>
    <row r="255">
      <c r="B255" s="46"/>
    </row>
    <row r="256">
      <c r="B256" s="46"/>
    </row>
    <row r="257">
      <c r="B257" s="46"/>
    </row>
    <row r="258">
      <c r="B258" s="46"/>
    </row>
    <row r="259">
      <c r="B259" s="46"/>
    </row>
    <row r="260">
      <c r="B260" s="46"/>
    </row>
    <row r="261">
      <c r="B261" s="46"/>
    </row>
    <row r="262">
      <c r="B262" s="46"/>
    </row>
    <row r="263">
      <c r="B263" s="46"/>
    </row>
    <row r="264">
      <c r="B264" s="46"/>
    </row>
    <row r="265">
      <c r="B265" s="46"/>
    </row>
    <row r="266">
      <c r="B266" s="46"/>
    </row>
    <row r="267">
      <c r="B267" s="46"/>
    </row>
    <row r="268">
      <c r="B268" s="46"/>
    </row>
    <row r="269">
      <c r="B269" s="46"/>
    </row>
    <row r="270">
      <c r="B270" s="46"/>
    </row>
    <row r="271">
      <c r="B271" s="46"/>
    </row>
    <row r="272">
      <c r="B272" s="46"/>
    </row>
    <row r="273">
      <c r="B273" s="46"/>
    </row>
    <row r="274">
      <c r="B274" s="46"/>
    </row>
    <row r="275">
      <c r="B275" s="46"/>
    </row>
    <row r="276">
      <c r="B276" s="46"/>
    </row>
    <row r="277">
      <c r="B277" s="46"/>
    </row>
    <row r="278">
      <c r="B278" s="46"/>
    </row>
    <row r="279">
      <c r="B279" s="46"/>
    </row>
    <row r="280">
      <c r="B280" s="46"/>
    </row>
    <row r="281">
      <c r="B281" s="46"/>
    </row>
    <row r="282">
      <c r="B282" s="46"/>
    </row>
    <row r="283">
      <c r="B283" s="46"/>
    </row>
    <row r="284">
      <c r="B284" s="46"/>
    </row>
    <row r="285">
      <c r="B285" s="46"/>
    </row>
    <row r="286">
      <c r="B286" s="46"/>
    </row>
    <row r="287">
      <c r="B287" s="46"/>
    </row>
    <row r="288">
      <c r="B288" s="46"/>
    </row>
    <row r="289">
      <c r="B289" s="46"/>
    </row>
    <row r="290">
      <c r="B290" s="46"/>
    </row>
    <row r="291">
      <c r="B291" s="46"/>
    </row>
    <row r="292">
      <c r="B292" s="46"/>
    </row>
    <row r="293">
      <c r="B293" s="46"/>
    </row>
    <row r="294">
      <c r="B294" s="46"/>
    </row>
    <row r="295">
      <c r="B295" s="46"/>
    </row>
    <row r="296">
      <c r="B296" s="46"/>
    </row>
    <row r="297">
      <c r="B297" s="46"/>
    </row>
    <row r="298">
      <c r="B298" s="46"/>
    </row>
    <row r="299">
      <c r="B299" s="46"/>
    </row>
    <row r="300">
      <c r="B300" s="46"/>
    </row>
    <row r="301">
      <c r="B301" s="46"/>
    </row>
    <row r="302">
      <c r="B302" s="46"/>
    </row>
    <row r="303">
      <c r="B303" s="46"/>
    </row>
    <row r="304">
      <c r="B304" s="46"/>
    </row>
    <row r="305">
      <c r="B305" s="46"/>
    </row>
    <row r="306">
      <c r="B306" s="46"/>
    </row>
    <row r="307">
      <c r="B307" s="46"/>
    </row>
    <row r="308">
      <c r="B308" s="46"/>
    </row>
    <row r="309">
      <c r="B309" s="46"/>
    </row>
    <row r="310">
      <c r="B310" s="46"/>
    </row>
    <row r="311">
      <c r="B311" s="46"/>
    </row>
    <row r="312">
      <c r="B312" s="46"/>
    </row>
    <row r="313">
      <c r="B313" s="46"/>
    </row>
    <row r="314">
      <c r="B314" s="46"/>
    </row>
    <row r="315">
      <c r="B315" s="46"/>
    </row>
    <row r="316">
      <c r="B316" s="46"/>
    </row>
    <row r="317">
      <c r="B317" s="46"/>
    </row>
    <row r="318">
      <c r="B318" s="46"/>
    </row>
    <row r="319">
      <c r="B319" s="46"/>
    </row>
    <row r="320">
      <c r="B320" s="46"/>
    </row>
    <row r="321">
      <c r="B321" s="46"/>
    </row>
    <row r="322">
      <c r="B322" s="46"/>
    </row>
    <row r="323">
      <c r="B323" s="46"/>
    </row>
    <row r="324">
      <c r="B324" s="46"/>
    </row>
    <row r="325">
      <c r="B325" s="46"/>
    </row>
    <row r="326">
      <c r="B326" s="46"/>
    </row>
    <row r="327">
      <c r="B327" s="46"/>
    </row>
    <row r="328">
      <c r="B328" s="46"/>
    </row>
    <row r="329">
      <c r="B329" s="46"/>
    </row>
    <row r="330">
      <c r="B330" s="46"/>
    </row>
    <row r="331">
      <c r="B331" s="46"/>
    </row>
    <row r="332">
      <c r="B332" s="46"/>
    </row>
    <row r="333">
      <c r="B333" s="46"/>
    </row>
    <row r="334">
      <c r="B334" s="46"/>
    </row>
    <row r="335">
      <c r="B335" s="46"/>
    </row>
    <row r="336">
      <c r="B336" s="46"/>
    </row>
    <row r="337">
      <c r="B337" s="46"/>
    </row>
    <row r="338">
      <c r="B338" s="46"/>
    </row>
    <row r="339">
      <c r="B339" s="46"/>
    </row>
    <row r="340">
      <c r="B340" s="46"/>
    </row>
    <row r="341">
      <c r="B341" s="46"/>
    </row>
    <row r="342">
      <c r="B342" s="46"/>
    </row>
    <row r="343">
      <c r="B343" s="46"/>
    </row>
    <row r="344">
      <c r="B344" s="46"/>
    </row>
    <row r="345">
      <c r="B345" s="46"/>
    </row>
    <row r="346">
      <c r="B346" s="46"/>
    </row>
    <row r="347">
      <c r="B347" s="46"/>
    </row>
    <row r="348">
      <c r="B348" s="46"/>
    </row>
    <row r="349">
      <c r="B349" s="46"/>
    </row>
    <row r="350">
      <c r="B350" s="46"/>
    </row>
    <row r="351">
      <c r="B351" s="46"/>
    </row>
    <row r="352">
      <c r="B352" s="46"/>
    </row>
    <row r="353">
      <c r="B353" s="46"/>
    </row>
    <row r="354">
      <c r="B354" s="46"/>
    </row>
    <row r="355">
      <c r="B355" s="46"/>
    </row>
    <row r="356">
      <c r="B356" s="46"/>
    </row>
    <row r="357">
      <c r="B357" s="46"/>
    </row>
    <row r="358">
      <c r="B358" s="46"/>
    </row>
    <row r="359">
      <c r="B359" s="46"/>
    </row>
    <row r="360">
      <c r="B360" s="46"/>
    </row>
    <row r="361">
      <c r="B361" s="46"/>
    </row>
    <row r="362">
      <c r="B362" s="46"/>
    </row>
    <row r="363">
      <c r="B363" s="46"/>
    </row>
    <row r="364">
      <c r="B364" s="46"/>
    </row>
    <row r="365">
      <c r="B365" s="46"/>
    </row>
    <row r="366">
      <c r="B366" s="46"/>
    </row>
    <row r="367">
      <c r="B367" s="46"/>
    </row>
    <row r="368">
      <c r="B368" s="46"/>
    </row>
    <row r="369">
      <c r="B369" s="46"/>
    </row>
    <row r="370">
      <c r="B370" s="46"/>
    </row>
    <row r="371">
      <c r="B371" s="46"/>
    </row>
    <row r="372">
      <c r="B372" s="46"/>
    </row>
    <row r="373">
      <c r="B373" s="46"/>
    </row>
    <row r="374">
      <c r="B374" s="46"/>
    </row>
    <row r="375">
      <c r="B375" s="46"/>
    </row>
    <row r="376">
      <c r="B376" s="46"/>
    </row>
    <row r="377">
      <c r="B377" s="46"/>
    </row>
    <row r="378">
      <c r="B378" s="46"/>
    </row>
    <row r="379">
      <c r="B379" s="46"/>
    </row>
    <row r="380">
      <c r="B380" s="46"/>
    </row>
    <row r="381">
      <c r="B381" s="46"/>
    </row>
    <row r="382">
      <c r="B382" s="46"/>
    </row>
    <row r="383">
      <c r="B383" s="46"/>
    </row>
    <row r="384">
      <c r="B384" s="46"/>
    </row>
    <row r="385">
      <c r="B385" s="46"/>
    </row>
    <row r="386">
      <c r="B386" s="46"/>
    </row>
    <row r="387">
      <c r="B387" s="46"/>
    </row>
    <row r="388">
      <c r="B388" s="46"/>
    </row>
    <row r="389">
      <c r="B389" s="46"/>
    </row>
    <row r="390">
      <c r="B390" s="46"/>
    </row>
    <row r="391">
      <c r="B391" s="46"/>
    </row>
    <row r="392">
      <c r="B392" s="46"/>
    </row>
    <row r="393">
      <c r="B393" s="46"/>
    </row>
    <row r="394">
      <c r="B394" s="46"/>
    </row>
    <row r="395">
      <c r="B395" s="46"/>
    </row>
    <row r="396">
      <c r="B396" s="46"/>
    </row>
    <row r="397">
      <c r="B397" s="46"/>
    </row>
    <row r="398">
      <c r="B398" s="46"/>
    </row>
    <row r="399">
      <c r="B399" s="46"/>
    </row>
    <row r="400">
      <c r="B400" s="46"/>
    </row>
    <row r="401">
      <c r="B401" s="46"/>
    </row>
    <row r="402">
      <c r="B402" s="46"/>
    </row>
    <row r="403">
      <c r="B403" s="46"/>
    </row>
    <row r="404">
      <c r="B404" s="46"/>
    </row>
    <row r="405">
      <c r="B405" s="46"/>
    </row>
    <row r="406">
      <c r="B406" s="46"/>
    </row>
    <row r="407">
      <c r="B407" s="46"/>
    </row>
    <row r="408">
      <c r="B408" s="46"/>
    </row>
    <row r="409">
      <c r="B409" s="46"/>
    </row>
    <row r="410">
      <c r="B410" s="46"/>
    </row>
    <row r="411">
      <c r="B411" s="46"/>
    </row>
    <row r="412">
      <c r="B412" s="46"/>
    </row>
    <row r="413">
      <c r="B413" s="46"/>
    </row>
    <row r="414">
      <c r="B414" s="46"/>
    </row>
    <row r="415">
      <c r="B415" s="46"/>
    </row>
    <row r="416">
      <c r="B416" s="46"/>
    </row>
    <row r="417">
      <c r="B417" s="46"/>
    </row>
    <row r="418">
      <c r="B418" s="46"/>
    </row>
    <row r="419">
      <c r="B419" s="46"/>
    </row>
    <row r="420">
      <c r="B420" s="46"/>
    </row>
    <row r="421">
      <c r="B421" s="46"/>
    </row>
    <row r="422">
      <c r="B422" s="46"/>
    </row>
    <row r="423">
      <c r="B423" s="46"/>
    </row>
    <row r="424">
      <c r="B424" s="46"/>
    </row>
    <row r="425">
      <c r="B425" s="46"/>
    </row>
    <row r="426">
      <c r="B426" s="46"/>
    </row>
    <row r="427">
      <c r="B427" s="46"/>
    </row>
    <row r="428">
      <c r="B428" s="46"/>
    </row>
    <row r="429">
      <c r="B429" s="46"/>
    </row>
    <row r="430">
      <c r="B430" s="46"/>
    </row>
    <row r="431">
      <c r="B431" s="46"/>
    </row>
    <row r="432">
      <c r="B432" s="46"/>
    </row>
    <row r="433">
      <c r="B433" s="46"/>
    </row>
    <row r="434">
      <c r="B434" s="46"/>
    </row>
    <row r="435">
      <c r="B435" s="46"/>
    </row>
    <row r="436">
      <c r="B436" s="46"/>
    </row>
    <row r="437">
      <c r="B437" s="46"/>
    </row>
    <row r="438">
      <c r="B438" s="46"/>
    </row>
    <row r="439">
      <c r="B439" s="46"/>
    </row>
    <row r="440">
      <c r="B440" s="46"/>
    </row>
    <row r="441">
      <c r="B441" s="46"/>
    </row>
    <row r="442">
      <c r="B442" s="46"/>
    </row>
    <row r="443">
      <c r="B443" s="46"/>
    </row>
    <row r="444">
      <c r="B444" s="46"/>
    </row>
    <row r="445">
      <c r="B445" s="46"/>
    </row>
    <row r="446">
      <c r="B446" s="46"/>
    </row>
    <row r="447">
      <c r="B447" s="46"/>
    </row>
    <row r="448">
      <c r="B448" s="46"/>
    </row>
    <row r="449">
      <c r="B449" s="46"/>
    </row>
    <row r="450">
      <c r="B450" s="46"/>
    </row>
    <row r="451">
      <c r="B451" s="46"/>
    </row>
    <row r="452">
      <c r="B452" s="46"/>
    </row>
    <row r="453">
      <c r="B453" s="46"/>
    </row>
    <row r="454">
      <c r="B454" s="46"/>
    </row>
    <row r="455">
      <c r="B455" s="46"/>
    </row>
    <row r="456">
      <c r="B456" s="46"/>
    </row>
    <row r="457">
      <c r="B457" s="46"/>
    </row>
    <row r="458">
      <c r="B458" s="46"/>
    </row>
    <row r="459">
      <c r="B459" s="46"/>
    </row>
    <row r="460">
      <c r="B460" s="46"/>
    </row>
    <row r="461">
      <c r="B461" s="46"/>
    </row>
    <row r="462">
      <c r="B462" s="46"/>
    </row>
    <row r="463">
      <c r="B463" s="46"/>
    </row>
    <row r="464">
      <c r="B464" s="46"/>
    </row>
    <row r="465">
      <c r="B465" s="46"/>
    </row>
    <row r="466">
      <c r="B466" s="46"/>
    </row>
    <row r="467">
      <c r="B467" s="46"/>
    </row>
    <row r="468">
      <c r="B468" s="46"/>
    </row>
    <row r="469">
      <c r="B469" s="46"/>
    </row>
    <row r="470">
      <c r="B470" s="46"/>
    </row>
    <row r="471">
      <c r="B471" s="46"/>
    </row>
    <row r="472">
      <c r="B472" s="46"/>
    </row>
    <row r="473">
      <c r="B473" s="46"/>
    </row>
    <row r="474">
      <c r="B474" s="46"/>
    </row>
    <row r="475">
      <c r="B475" s="46"/>
    </row>
    <row r="476">
      <c r="B476" s="46"/>
    </row>
    <row r="477">
      <c r="B477" s="46"/>
    </row>
    <row r="478">
      <c r="B478" s="46"/>
    </row>
    <row r="479">
      <c r="B479" s="46"/>
    </row>
    <row r="480">
      <c r="B480" s="46"/>
    </row>
    <row r="481">
      <c r="B481" s="46"/>
    </row>
    <row r="482">
      <c r="B482" s="46"/>
    </row>
    <row r="483">
      <c r="B483" s="46"/>
    </row>
    <row r="484">
      <c r="B484" s="46"/>
    </row>
    <row r="485">
      <c r="B485" s="46"/>
    </row>
    <row r="486">
      <c r="B486" s="46"/>
    </row>
    <row r="487">
      <c r="B487" s="46"/>
    </row>
    <row r="488">
      <c r="B488" s="46"/>
    </row>
    <row r="489">
      <c r="B489" s="46"/>
    </row>
    <row r="490">
      <c r="B490" s="46"/>
    </row>
    <row r="491">
      <c r="B491" s="46"/>
    </row>
    <row r="492">
      <c r="B492" s="46"/>
    </row>
    <row r="493">
      <c r="B493" s="46"/>
    </row>
    <row r="494">
      <c r="B494" s="46"/>
    </row>
    <row r="495">
      <c r="B495" s="46"/>
    </row>
    <row r="496">
      <c r="B496" s="46"/>
    </row>
    <row r="497">
      <c r="B497" s="46"/>
    </row>
    <row r="498">
      <c r="B498" s="46"/>
    </row>
    <row r="499">
      <c r="B499" s="46"/>
    </row>
    <row r="500">
      <c r="B500" s="46"/>
    </row>
    <row r="501">
      <c r="B501" s="46"/>
    </row>
    <row r="502">
      <c r="B502" s="46"/>
    </row>
    <row r="503">
      <c r="B503" s="46"/>
    </row>
    <row r="504">
      <c r="B504" s="46"/>
    </row>
    <row r="505">
      <c r="B505" s="46"/>
    </row>
    <row r="506">
      <c r="B506" s="46"/>
    </row>
    <row r="507">
      <c r="B507" s="46"/>
    </row>
    <row r="508">
      <c r="B508" s="46"/>
    </row>
    <row r="509">
      <c r="B509" s="46"/>
    </row>
    <row r="510">
      <c r="B510" s="46"/>
    </row>
    <row r="511">
      <c r="B511" s="46"/>
    </row>
    <row r="512">
      <c r="B512" s="46"/>
    </row>
    <row r="513">
      <c r="B513" s="46"/>
    </row>
    <row r="514">
      <c r="B514" s="46"/>
    </row>
    <row r="515">
      <c r="B515" s="46"/>
    </row>
    <row r="516">
      <c r="B516" s="46"/>
    </row>
    <row r="517">
      <c r="B517" s="46"/>
    </row>
    <row r="518">
      <c r="B518" s="46"/>
    </row>
    <row r="519">
      <c r="B519" s="46"/>
    </row>
    <row r="520">
      <c r="B520" s="46"/>
    </row>
    <row r="521">
      <c r="B521" s="46"/>
    </row>
    <row r="522">
      <c r="B522" s="46"/>
    </row>
    <row r="523">
      <c r="B523" s="46"/>
    </row>
    <row r="524">
      <c r="B524" s="46"/>
    </row>
    <row r="525">
      <c r="B525" s="46"/>
    </row>
    <row r="526">
      <c r="B526" s="46"/>
    </row>
    <row r="527">
      <c r="B527" s="46"/>
    </row>
    <row r="528">
      <c r="B528" s="46"/>
    </row>
    <row r="529">
      <c r="B529" s="46"/>
    </row>
    <row r="530">
      <c r="B530" s="46"/>
    </row>
    <row r="531">
      <c r="B531" s="46"/>
    </row>
    <row r="532">
      <c r="B532" s="46"/>
    </row>
    <row r="533">
      <c r="B533" s="46"/>
    </row>
    <row r="534">
      <c r="B534" s="46"/>
    </row>
    <row r="535">
      <c r="B535" s="46"/>
    </row>
    <row r="536">
      <c r="B536" s="46"/>
    </row>
    <row r="537">
      <c r="B537" s="46"/>
    </row>
    <row r="538">
      <c r="B538" s="46"/>
    </row>
    <row r="539">
      <c r="B539" s="46"/>
    </row>
    <row r="540">
      <c r="B540" s="46"/>
    </row>
    <row r="541">
      <c r="B541" s="46"/>
    </row>
    <row r="542">
      <c r="B542" s="46"/>
    </row>
    <row r="543">
      <c r="B543" s="46"/>
    </row>
    <row r="544">
      <c r="B544" s="46"/>
    </row>
    <row r="545">
      <c r="B545" s="46"/>
    </row>
    <row r="546">
      <c r="B546" s="46"/>
    </row>
    <row r="547">
      <c r="B547" s="46"/>
    </row>
    <row r="548">
      <c r="B548" s="46"/>
    </row>
    <row r="549">
      <c r="B549" s="46"/>
    </row>
    <row r="550">
      <c r="B550" s="46"/>
    </row>
    <row r="551">
      <c r="B551" s="46"/>
    </row>
    <row r="552">
      <c r="B552" s="46"/>
    </row>
    <row r="553">
      <c r="B553" s="46"/>
    </row>
    <row r="554">
      <c r="B554" s="46"/>
    </row>
    <row r="555">
      <c r="B555" s="46"/>
    </row>
    <row r="556">
      <c r="B556" s="46"/>
    </row>
    <row r="557">
      <c r="B557" s="46"/>
    </row>
    <row r="558">
      <c r="B558" s="46"/>
    </row>
    <row r="559">
      <c r="B559" s="46"/>
    </row>
    <row r="560">
      <c r="B560" s="46"/>
    </row>
    <row r="561">
      <c r="B561" s="46"/>
    </row>
    <row r="562">
      <c r="B562" s="46"/>
    </row>
    <row r="563">
      <c r="B563" s="46"/>
    </row>
    <row r="564">
      <c r="B564" s="46"/>
    </row>
    <row r="565">
      <c r="B565" s="46"/>
    </row>
    <row r="566">
      <c r="B566" s="46"/>
    </row>
    <row r="567">
      <c r="B567" s="46"/>
    </row>
    <row r="568">
      <c r="B568" s="46"/>
    </row>
    <row r="569">
      <c r="B569" s="46"/>
    </row>
    <row r="570">
      <c r="B570" s="46"/>
    </row>
    <row r="571">
      <c r="B571" s="46"/>
    </row>
    <row r="572">
      <c r="B572" s="46"/>
    </row>
    <row r="573">
      <c r="B573" s="46"/>
    </row>
    <row r="574">
      <c r="B574" s="46"/>
    </row>
    <row r="575">
      <c r="B575" s="46"/>
    </row>
    <row r="576">
      <c r="B576" s="46"/>
    </row>
    <row r="577">
      <c r="B577" s="46"/>
    </row>
    <row r="578">
      <c r="B578" s="46"/>
    </row>
    <row r="579">
      <c r="B579" s="46"/>
    </row>
    <row r="580">
      <c r="B580" s="46"/>
    </row>
    <row r="581">
      <c r="B581" s="46"/>
    </row>
    <row r="582">
      <c r="B582" s="46"/>
    </row>
    <row r="583">
      <c r="B583" s="46"/>
    </row>
    <row r="584">
      <c r="B584" s="46"/>
    </row>
    <row r="585">
      <c r="B585" s="46"/>
    </row>
    <row r="586">
      <c r="B586" s="46"/>
    </row>
    <row r="587">
      <c r="B587" s="46"/>
    </row>
    <row r="588">
      <c r="B588" s="46"/>
    </row>
    <row r="589">
      <c r="B589" s="46"/>
    </row>
    <row r="590">
      <c r="B590" s="46"/>
    </row>
    <row r="591">
      <c r="B591" s="46"/>
    </row>
    <row r="592">
      <c r="B592" s="46"/>
    </row>
    <row r="593">
      <c r="B593" s="46"/>
    </row>
    <row r="594">
      <c r="B594" s="46"/>
    </row>
    <row r="595">
      <c r="B595" s="46"/>
    </row>
    <row r="596">
      <c r="B596" s="46"/>
    </row>
    <row r="597">
      <c r="B597" s="46"/>
    </row>
    <row r="598">
      <c r="B598" s="46"/>
    </row>
    <row r="599">
      <c r="B599" s="46"/>
    </row>
    <row r="600">
      <c r="B600" s="46"/>
    </row>
    <row r="601">
      <c r="B601" s="46"/>
    </row>
    <row r="602">
      <c r="B602" s="46"/>
    </row>
    <row r="603">
      <c r="B603" s="46"/>
    </row>
    <row r="604">
      <c r="B604" s="46"/>
    </row>
    <row r="605">
      <c r="B605" s="46"/>
    </row>
    <row r="606">
      <c r="B606" s="46"/>
    </row>
    <row r="607">
      <c r="B607" s="46"/>
    </row>
    <row r="608">
      <c r="B608" s="46"/>
    </row>
    <row r="609">
      <c r="B609" s="46"/>
    </row>
    <row r="610">
      <c r="B610" s="46"/>
    </row>
    <row r="611">
      <c r="B611" s="46"/>
    </row>
    <row r="612">
      <c r="B612" s="46"/>
    </row>
    <row r="613">
      <c r="B613" s="46"/>
    </row>
    <row r="614">
      <c r="B614" s="46"/>
    </row>
    <row r="615">
      <c r="B615" s="46"/>
    </row>
    <row r="616">
      <c r="B616" s="46"/>
    </row>
    <row r="617">
      <c r="B617" s="46"/>
    </row>
    <row r="618">
      <c r="B618" s="46"/>
    </row>
    <row r="619">
      <c r="B619" s="46"/>
    </row>
    <row r="620">
      <c r="B620" s="46"/>
    </row>
    <row r="621">
      <c r="B621" s="46"/>
    </row>
    <row r="622">
      <c r="B622" s="46"/>
    </row>
    <row r="623">
      <c r="B623" s="46"/>
    </row>
    <row r="624">
      <c r="B624" s="46"/>
    </row>
    <row r="625">
      <c r="B625" s="46"/>
    </row>
    <row r="626">
      <c r="B626" s="46"/>
    </row>
    <row r="627">
      <c r="B627" s="46"/>
    </row>
    <row r="628">
      <c r="B628" s="46"/>
    </row>
    <row r="629">
      <c r="B629" s="46"/>
    </row>
    <row r="630">
      <c r="B630" s="46"/>
    </row>
    <row r="631">
      <c r="B631" s="46"/>
    </row>
    <row r="632">
      <c r="B632" s="46"/>
    </row>
    <row r="633">
      <c r="B633" s="46"/>
    </row>
    <row r="634">
      <c r="B634" s="46"/>
    </row>
    <row r="635">
      <c r="B635" s="46"/>
    </row>
    <row r="636">
      <c r="B636" s="46"/>
    </row>
    <row r="637">
      <c r="B637" s="46"/>
    </row>
    <row r="638">
      <c r="B638" s="46"/>
    </row>
    <row r="639">
      <c r="B639" s="46"/>
    </row>
    <row r="640">
      <c r="B640" s="46"/>
    </row>
    <row r="641">
      <c r="B641" s="46"/>
    </row>
    <row r="642">
      <c r="B642" s="46"/>
    </row>
    <row r="643">
      <c r="B643" s="46"/>
    </row>
    <row r="644">
      <c r="B644" s="46"/>
    </row>
    <row r="645">
      <c r="B645" s="46"/>
    </row>
    <row r="646">
      <c r="B646" s="46"/>
    </row>
    <row r="647">
      <c r="B647" s="46"/>
    </row>
    <row r="648">
      <c r="B648" s="46"/>
    </row>
    <row r="649">
      <c r="B649" s="46"/>
    </row>
    <row r="650">
      <c r="B650" s="46"/>
    </row>
    <row r="651">
      <c r="B651" s="46"/>
    </row>
    <row r="652">
      <c r="B652" s="46"/>
    </row>
    <row r="653">
      <c r="B653" s="46"/>
    </row>
    <row r="654">
      <c r="B654" s="46"/>
    </row>
    <row r="655">
      <c r="B655" s="46"/>
    </row>
    <row r="656">
      <c r="B656" s="46"/>
    </row>
    <row r="657">
      <c r="B657" s="46"/>
    </row>
    <row r="658">
      <c r="B658" s="46"/>
    </row>
    <row r="659">
      <c r="B659" s="46"/>
    </row>
    <row r="660">
      <c r="B660" s="46"/>
    </row>
    <row r="661">
      <c r="B661" s="46"/>
    </row>
    <row r="662">
      <c r="B662" s="46"/>
    </row>
    <row r="663">
      <c r="B663" s="46"/>
    </row>
    <row r="664">
      <c r="B664" s="46"/>
    </row>
    <row r="665">
      <c r="B665" s="46"/>
    </row>
    <row r="666">
      <c r="B666" s="46"/>
    </row>
    <row r="667">
      <c r="B667" s="46"/>
    </row>
    <row r="668">
      <c r="B668" s="46"/>
    </row>
    <row r="669">
      <c r="B669" s="46"/>
    </row>
    <row r="670">
      <c r="B670" s="46"/>
    </row>
    <row r="671">
      <c r="B671" s="46"/>
    </row>
    <row r="672">
      <c r="B672" s="46"/>
    </row>
    <row r="673">
      <c r="B673" s="46"/>
    </row>
    <row r="674">
      <c r="B674" s="46"/>
    </row>
    <row r="675">
      <c r="B675" s="46"/>
    </row>
    <row r="676">
      <c r="B676" s="46"/>
    </row>
    <row r="677">
      <c r="B677" s="46"/>
    </row>
    <row r="678">
      <c r="B678" s="46"/>
    </row>
    <row r="679">
      <c r="B679" s="46"/>
    </row>
    <row r="680">
      <c r="B680" s="46"/>
    </row>
    <row r="681">
      <c r="B681" s="46"/>
    </row>
    <row r="682">
      <c r="B682" s="46"/>
    </row>
    <row r="683">
      <c r="B683" s="46"/>
    </row>
    <row r="684">
      <c r="B684" s="46"/>
    </row>
    <row r="685">
      <c r="B685" s="46"/>
    </row>
    <row r="686">
      <c r="B686" s="46"/>
    </row>
    <row r="687">
      <c r="B687" s="46"/>
    </row>
    <row r="688">
      <c r="B688" s="46"/>
    </row>
    <row r="689">
      <c r="B689" s="46"/>
    </row>
    <row r="690">
      <c r="B690" s="46"/>
    </row>
    <row r="691">
      <c r="B691" s="46"/>
    </row>
    <row r="692">
      <c r="B692" s="46"/>
    </row>
    <row r="693">
      <c r="B693" s="46"/>
    </row>
    <row r="694">
      <c r="B694" s="46"/>
    </row>
    <row r="695">
      <c r="B695" s="46"/>
    </row>
    <row r="696">
      <c r="B696" s="46"/>
    </row>
    <row r="697">
      <c r="B697" s="46"/>
    </row>
    <row r="698">
      <c r="B698" s="46"/>
    </row>
    <row r="699">
      <c r="B699" s="46"/>
    </row>
    <row r="700">
      <c r="B700" s="46"/>
    </row>
    <row r="701">
      <c r="B701" s="46"/>
    </row>
    <row r="702">
      <c r="B702" s="46"/>
    </row>
    <row r="703">
      <c r="B703" s="46"/>
    </row>
    <row r="704">
      <c r="B704" s="46"/>
    </row>
    <row r="705">
      <c r="B705" s="46"/>
    </row>
    <row r="706">
      <c r="B706" s="46"/>
    </row>
    <row r="707">
      <c r="B707" s="46"/>
    </row>
    <row r="708">
      <c r="B708" s="46"/>
    </row>
    <row r="709">
      <c r="B709" s="46"/>
    </row>
    <row r="710">
      <c r="B710" s="46"/>
    </row>
    <row r="711">
      <c r="B711" s="46"/>
    </row>
    <row r="712">
      <c r="B712" s="46"/>
    </row>
    <row r="713">
      <c r="B713" s="46"/>
    </row>
    <row r="714">
      <c r="B714" s="46"/>
    </row>
    <row r="715">
      <c r="B715" s="46"/>
    </row>
    <row r="716">
      <c r="B716" s="46"/>
    </row>
    <row r="717">
      <c r="B717" s="46"/>
    </row>
    <row r="718">
      <c r="B718" s="46"/>
    </row>
    <row r="719">
      <c r="B719" s="46"/>
    </row>
    <row r="720">
      <c r="B720" s="46"/>
    </row>
    <row r="721">
      <c r="B721" s="46"/>
    </row>
    <row r="722">
      <c r="B722" s="46"/>
    </row>
    <row r="723">
      <c r="B723" s="46"/>
    </row>
    <row r="724">
      <c r="B724" s="46"/>
    </row>
    <row r="725">
      <c r="B725" s="46"/>
    </row>
    <row r="726">
      <c r="B726" s="46"/>
    </row>
    <row r="727">
      <c r="B727" s="46"/>
    </row>
    <row r="728">
      <c r="B728" s="46"/>
    </row>
    <row r="729">
      <c r="B729" s="46"/>
    </row>
    <row r="730">
      <c r="B730" s="46"/>
    </row>
    <row r="731">
      <c r="B731" s="46"/>
    </row>
    <row r="732">
      <c r="B732" s="46"/>
    </row>
    <row r="733">
      <c r="B733" s="46"/>
    </row>
    <row r="734">
      <c r="B734" s="46"/>
    </row>
    <row r="735">
      <c r="B735" s="46"/>
    </row>
    <row r="736">
      <c r="B736" s="46"/>
    </row>
    <row r="737">
      <c r="B737" s="46"/>
    </row>
    <row r="738">
      <c r="B738" s="46"/>
    </row>
    <row r="739">
      <c r="B739" s="46"/>
    </row>
    <row r="740">
      <c r="B740" s="46"/>
    </row>
    <row r="741">
      <c r="B741" s="46"/>
    </row>
    <row r="742">
      <c r="B742" s="46"/>
    </row>
    <row r="743">
      <c r="B743" s="46"/>
    </row>
    <row r="744">
      <c r="B744" s="46"/>
    </row>
    <row r="745">
      <c r="B745" s="46"/>
    </row>
    <row r="746">
      <c r="B746" s="46"/>
    </row>
    <row r="747">
      <c r="B747" s="46"/>
    </row>
    <row r="748">
      <c r="B748" s="46"/>
    </row>
    <row r="749">
      <c r="B749" s="46"/>
    </row>
    <row r="750">
      <c r="B750" s="46"/>
    </row>
    <row r="751">
      <c r="B751" s="46"/>
    </row>
    <row r="752">
      <c r="B752" s="46"/>
    </row>
    <row r="753">
      <c r="B753" s="46"/>
    </row>
    <row r="754">
      <c r="B754" s="46"/>
    </row>
    <row r="755">
      <c r="B755" s="46"/>
    </row>
    <row r="756">
      <c r="B756" s="46"/>
    </row>
    <row r="757">
      <c r="B757" s="46"/>
    </row>
    <row r="758">
      <c r="B758" s="46"/>
    </row>
    <row r="759">
      <c r="B759" s="46"/>
    </row>
    <row r="760">
      <c r="B760" s="46"/>
    </row>
    <row r="761">
      <c r="B761" s="46"/>
    </row>
    <row r="762">
      <c r="B762" s="46"/>
    </row>
    <row r="763">
      <c r="B763" s="46"/>
    </row>
    <row r="764">
      <c r="B764" s="46"/>
    </row>
    <row r="765">
      <c r="B765" s="46"/>
    </row>
    <row r="766">
      <c r="B766" s="46"/>
    </row>
    <row r="767">
      <c r="B767" s="46"/>
    </row>
    <row r="768">
      <c r="B768" s="46"/>
    </row>
    <row r="769">
      <c r="B769" s="46"/>
    </row>
    <row r="770">
      <c r="B770" s="46"/>
    </row>
    <row r="771">
      <c r="B771" s="46"/>
    </row>
    <row r="772">
      <c r="B772" s="46"/>
    </row>
    <row r="773">
      <c r="B773" s="46"/>
    </row>
    <row r="774">
      <c r="B774" s="46"/>
    </row>
    <row r="775">
      <c r="B775" s="46"/>
    </row>
    <row r="776">
      <c r="B776" s="46"/>
    </row>
    <row r="777">
      <c r="B777" s="46"/>
    </row>
    <row r="778">
      <c r="B778" s="46"/>
    </row>
    <row r="779">
      <c r="B779" s="46"/>
    </row>
    <row r="780">
      <c r="B780" s="46"/>
    </row>
    <row r="781">
      <c r="B781" s="46"/>
    </row>
    <row r="782">
      <c r="B782" s="46"/>
    </row>
    <row r="783">
      <c r="B783" s="46"/>
    </row>
    <row r="784">
      <c r="B784" s="46"/>
    </row>
    <row r="785">
      <c r="B785" s="46"/>
    </row>
    <row r="786">
      <c r="B786" s="46"/>
    </row>
    <row r="787">
      <c r="B787" s="46"/>
    </row>
    <row r="788">
      <c r="B788" s="46"/>
    </row>
    <row r="789">
      <c r="B789" s="46"/>
    </row>
    <row r="790">
      <c r="B790" s="46"/>
    </row>
    <row r="791">
      <c r="B791" s="46"/>
    </row>
    <row r="792">
      <c r="B792" s="46"/>
    </row>
    <row r="793">
      <c r="B793" s="46"/>
    </row>
    <row r="794">
      <c r="B794" s="46"/>
    </row>
    <row r="795">
      <c r="B795" s="46"/>
    </row>
    <row r="796">
      <c r="B796" s="46"/>
    </row>
    <row r="797">
      <c r="B797" s="46"/>
    </row>
    <row r="798">
      <c r="B798" s="46"/>
    </row>
    <row r="799">
      <c r="B799" s="46"/>
    </row>
    <row r="800">
      <c r="B800" s="46"/>
    </row>
    <row r="801">
      <c r="B801" s="46"/>
    </row>
    <row r="802">
      <c r="B802" s="46"/>
    </row>
    <row r="803">
      <c r="B803" s="46"/>
    </row>
    <row r="804">
      <c r="B804" s="46"/>
    </row>
    <row r="805">
      <c r="B805" s="46"/>
    </row>
    <row r="806">
      <c r="B806" s="46"/>
    </row>
    <row r="807">
      <c r="B807" s="46"/>
    </row>
    <row r="808">
      <c r="B808" s="46"/>
    </row>
    <row r="809">
      <c r="B809" s="46"/>
    </row>
    <row r="810">
      <c r="B810" s="46"/>
    </row>
    <row r="811">
      <c r="B811" s="46"/>
    </row>
    <row r="812">
      <c r="B812" s="46"/>
    </row>
    <row r="813">
      <c r="B813" s="46"/>
    </row>
    <row r="814">
      <c r="B814" s="46"/>
    </row>
    <row r="815">
      <c r="B815" s="46"/>
    </row>
    <row r="816">
      <c r="B816" s="46"/>
    </row>
    <row r="817">
      <c r="B817" s="46"/>
    </row>
    <row r="818">
      <c r="B818" s="46"/>
    </row>
    <row r="819">
      <c r="B819" s="46"/>
    </row>
    <row r="820">
      <c r="B820" s="46"/>
    </row>
    <row r="821">
      <c r="B821" s="46"/>
    </row>
    <row r="822">
      <c r="B822" s="46"/>
    </row>
    <row r="823">
      <c r="B823" s="46"/>
    </row>
    <row r="824">
      <c r="B824" s="46"/>
    </row>
    <row r="825">
      <c r="B825" s="46"/>
    </row>
    <row r="826">
      <c r="B826" s="46"/>
    </row>
    <row r="827">
      <c r="B827" s="46"/>
    </row>
    <row r="828">
      <c r="B828" s="46"/>
    </row>
    <row r="829">
      <c r="B829" s="46"/>
    </row>
    <row r="830">
      <c r="B830" s="46"/>
    </row>
    <row r="831">
      <c r="B831" s="46"/>
    </row>
    <row r="832">
      <c r="B832" s="46"/>
    </row>
    <row r="833">
      <c r="B833" s="46"/>
    </row>
    <row r="834">
      <c r="B834" s="46"/>
    </row>
    <row r="835">
      <c r="B835" s="46"/>
    </row>
    <row r="836">
      <c r="B836" s="46"/>
    </row>
    <row r="837">
      <c r="B837" s="46"/>
    </row>
    <row r="838">
      <c r="B838" s="46"/>
    </row>
    <row r="839">
      <c r="B839" s="46"/>
    </row>
    <row r="840">
      <c r="B840" s="46"/>
    </row>
    <row r="841">
      <c r="B841" s="46"/>
    </row>
    <row r="842">
      <c r="B842" s="46"/>
    </row>
    <row r="843">
      <c r="B843" s="46"/>
    </row>
    <row r="844">
      <c r="B844" s="46"/>
    </row>
    <row r="845">
      <c r="B845" s="46"/>
    </row>
    <row r="846">
      <c r="B846" s="46"/>
    </row>
    <row r="847">
      <c r="B847" s="46"/>
    </row>
    <row r="848">
      <c r="B848" s="46"/>
    </row>
    <row r="849">
      <c r="B849" s="46"/>
    </row>
    <row r="850">
      <c r="B850" s="46"/>
    </row>
    <row r="851">
      <c r="B851" s="46"/>
    </row>
    <row r="852">
      <c r="B852" s="46"/>
    </row>
    <row r="853">
      <c r="B853" s="46"/>
    </row>
    <row r="854">
      <c r="B854" s="46"/>
    </row>
    <row r="855">
      <c r="B855" s="46"/>
    </row>
    <row r="856">
      <c r="B856" s="46"/>
    </row>
    <row r="857">
      <c r="B857" s="46"/>
    </row>
    <row r="858">
      <c r="B858" s="46"/>
    </row>
    <row r="859">
      <c r="B859" s="46"/>
    </row>
    <row r="860">
      <c r="B860" s="46"/>
    </row>
    <row r="861">
      <c r="B861" s="46"/>
    </row>
    <row r="862">
      <c r="B862" s="46"/>
    </row>
    <row r="863">
      <c r="B863" s="46"/>
    </row>
    <row r="864">
      <c r="B864" s="46"/>
    </row>
    <row r="865">
      <c r="B865" s="46"/>
    </row>
    <row r="866">
      <c r="B866" s="46"/>
    </row>
    <row r="867">
      <c r="B867" s="46"/>
    </row>
    <row r="868">
      <c r="B868" s="46"/>
    </row>
    <row r="869">
      <c r="B869" s="46"/>
    </row>
    <row r="870">
      <c r="B870" s="46"/>
    </row>
    <row r="871">
      <c r="B871" s="46"/>
    </row>
    <row r="872">
      <c r="B872" s="46"/>
    </row>
    <row r="873">
      <c r="B873" s="46"/>
    </row>
    <row r="874">
      <c r="B874" s="46"/>
    </row>
    <row r="875">
      <c r="B875" s="46"/>
    </row>
    <row r="876">
      <c r="B876" s="46"/>
    </row>
    <row r="877">
      <c r="B877" s="46"/>
    </row>
    <row r="878">
      <c r="B878" s="46"/>
    </row>
    <row r="879">
      <c r="B879" s="46"/>
    </row>
    <row r="880">
      <c r="B880" s="46"/>
    </row>
    <row r="881">
      <c r="B881" s="46"/>
    </row>
    <row r="882">
      <c r="B882" s="46"/>
    </row>
    <row r="883">
      <c r="B883" s="46"/>
    </row>
    <row r="884">
      <c r="B884" s="46"/>
    </row>
    <row r="885">
      <c r="B885" s="46"/>
    </row>
    <row r="886">
      <c r="B886" s="46"/>
    </row>
    <row r="887">
      <c r="B887" s="46"/>
    </row>
    <row r="888">
      <c r="B888" s="46"/>
    </row>
    <row r="889">
      <c r="B889" s="46"/>
    </row>
    <row r="890">
      <c r="B890" s="46"/>
    </row>
    <row r="891">
      <c r="B891" s="46"/>
    </row>
    <row r="892">
      <c r="B892" s="46"/>
    </row>
    <row r="893">
      <c r="B893" s="46"/>
    </row>
    <row r="894">
      <c r="B894" s="46"/>
    </row>
    <row r="895">
      <c r="B895" s="46"/>
    </row>
    <row r="896">
      <c r="B896" s="46"/>
    </row>
    <row r="897">
      <c r="B897" s="46"/>
    </row>
    <row r="898">
      <c r="B898" s="46"/>
    </row>
    <row r="899">
      <c r="B899" s="46"/>
    </row>
    <row r="900">
      <c r="B900" s="46"/>
    </row>
    <row r="901">
      <c r="B901" s="46"/>
    </row>
    <row r="902">
      <c r="B902" s="46"/>
    </row>
    <row r="903">
      <c r="B903" s="46"/>
    </row>
    <row r="904">
      <c r="B904" s="46"/>
    </row>
    <row r="905">
      <c r="B905" s="46"/>
    </row>
    <row r="906">
      <c r="B906" s="46"/>
    </row>
    <row r="907">
      <c r="B907" s="46"/>
    </row>
    <row r="908">
      <c r="B908" s="46"/>
    </row>
    <row r="909">
      <c r="B909" s="46"/>
    </row>
    <row r="910">
      <c r="B910" s="46"/>
    </row>
    <row r="911">
      <c r="B911" s="46"/>
    </row>
    <row r="912">
      <c r="B912" s="46"/>
    </row>
    <row r="913">
      <c r="B913" s="46"/>
    </row>
    <row r="914">
      <c r="B914" s="46"/>
    </row>
    <row r="915">
      <c r="B915" s="46"/>
    </row>
    <row r="916">
      <c r="B916" s="46"/>
    </row>
    <row r="917">
      <c r="B917" s="46"/>
    </row>
    <row r="918">
      <c r="B918" s="46"/>
    </row>
    <row r="919">
      <c r="B919" s="46"/>
    </row>
    <row r="920">
      <c r="B920" s="46"/>
    </row>
    <row r="921">
      <c r="B921" s="46"/>
    </row>
    <row r="922">
      <c r="B922" s="46"/>
    </row>
    <row r="923">
      <c r="B923" s="46"/>
    </row>
    <row r="924">
      <c r="B924" s="46"/>
    </row>
    <row r="925">
      <c r="B925" s="46"/>
    </row>
    <row r="926">
      <c r="B926" s="46"/>
    </row>
    <row r="927">
      <c r="B927" s="46"/>
    </row>
    <row r="928">
      <c r="B928" s="46"/>
    </row>
    <row r="929">
      <c r="B929" s="46"/>
    </row>
    <row r="930">
      <c r="B930" s="46"/>
    </row>
    <row r="931">
      <c r="B931" s="46"/>
    </row>
    <row r="932">
      <c r="B932" s="46"/>
    </row>
    <row r="933">
      <c r="B933" s="46"/>
    </row>
    <row r="934">
      <c r="B934" s="46"/>
    </row>
    <row r="935">
      <c r="B935" s="46"/>
    </row>
    <row r="936">
      <c r="B936" s="46"/>
    </row>
    <row r="937">
      <c r="B937" s="46"/>
    </row>
    <row r="938">
      <c r="B938" s="46"/>
    </row>
    <row r="939">
      <c r="B939" s="46"/>
    </row>
    <row r="940">
      <c r="B940" s="46"/>
    </row>
    <row r="941">
      <c r="B941" s="46"/>
    </row>
    <row r="942">
      <c r="B942" s="46"/>
    </row>
    <row r="943">
      <c r="B943" s="46"/>
    </row>
    <row r="944">
      <c r="B944" s="46"/>
    </row>
    <row r="945">
      <c r="B945" s="46"/>
    </row>
    <row r="946">
      <c r="B946" s="46"/>
    </row>
    <row r="947">
      <c r="B947" s="46"/>
    </row>
    <row r="948">
      <c r="B948" s="46"/>
    </row>
    <row r="949">
      <c r="B949" s="46"/>
    </row>
    <row r="950">
      <c r="B950" s="46"/>
    </row>
    <row r="951">
      <c r="B951" s="46"/>
    </row>
    <row r="952">
      <c r="B952" s="46"/>
    </row>
    <row r="953">
      <c r="B953" s="46"/>
    </row>
    <row r="954">
      <c r="B954" s="46"/>
    </row>
    <row r="955">
      <c r="B955" s="46"/>
    </row>
    <row r="956">
      <c r="B956" s="46"/>
    </row>
    <row r="957">
      <c r="B957" s="46"/>
    </row>
    <row r="958">
      <c r="B958" s="46"/>
    </row>
    <row r="959">
      <c r="B959" s="46"/>
    </row>
    <row r="960">
      <c r="B960" s="46"/>
    </row>
    <row r="961">
      <c r="B961" s="46"/>
    </row>
    <row r="962">
      <c r="B962" s="46"/>
    </row>
    <row r="963">
      <c r="B963" s="46"/>
    </row>
    <row r="964">
      <c r="B964" s="46"/>
    </row>
    <row r="965">
      <c r="B965" s="46"/>
    </row>
    <row r="966">
      <c r="B966" s="46"/>
    </row>
    <row r="967">
      <c r="B967" s="46"/>
    </row>
    <row r="968">
      <c r="B968" s="46"/>
    </row>
    <row r="969">
      <c r="B969" s="46"/>
    </row>
    <row r="970">
      <c r="B970" s="46"/>
    </row>
    <row r="971">
      <c r="B971" s="46"/>
    </row>
    <row r="972">
      <c r="B972" s="46"/>
    </row>
    <row r="973">
      <c r="B973" s="46"/>
    </row>
    <row r="974">
      <c r="B974" s="46"/>
    </row>
    <row r="975">
      <c r="B975" s="46"/>
    </row>
    <row r="976">
      <c r="B976" s="46"/>
    </row>
    <row r="977">
      <c r="B977" s="46"/>
    </row>
    <row r="978">
      <c r="B978" s="46"/>
    </row>
    <row r="979">
      <c r="B979" s="46"/>
    </row>
    <row r="980">
      <c r="B980" s="46"/>
    </row>
    <row r="981">
      <c r="B981" s="46"/>
    </row>
    <row r="982">
      <c r="B982" s="46"/>
    </row>
    <row r="983">
      <c r="B983" s="46"/>
    </row>
    <row r="984">
      <c r="B984" s="46"/>
    </row>
    <row r="985">
      <c r="B985" s="46"/>
    </row>
    <row r="986">
      <c r="B986" s="46"/>
    </row>
    <row r="987">
      <c r="B987" s="46"/>
    </row>
    <row r="988">
      <c r="B988" s="46"/>
    </row>
    <row r="989">
      <c r="B989" s="46"/>
    </row>
    <row r="990">
      <c r="B990" s="46"/>
    </row>
    <row r="991">
      <c r="B991" s="46"/>
    </row>
    <row r="992">
      <c r="B992" s="46"/>
    </row>
    <row r="993">
      <c r="B993" s="46"/>
    </row>
    <row r="994">
      <c r="B994" s="46"/>
    </row>
    <row r="995">
      <c r="B995" s="46"/>
    </row>
    <row r="996">
      <c r="B996" s="46"/>
    </row>
    <row r="997">
      <c r="B997" s="46"/>
    </row>
    <row r="998">
      <c r="B998" s="46"/>
    </row>
    <row r="999">
      <c r="B999" s="46"/>
    </row>
    <row r="1000">
      <c r="B1000" s="46"/>
    </row>
    <row r="1001">
      <c r="B1001" s="46"/>
    </row>
    <row r="1002">
      <c r="B1002" s="46"/>
    </row>
    <row r="1003">
      <c r="B1003" s="46"/>
    </row>
    <row r="1004">
      <c r="B1004" s="46"/>
    </row>
    <row r="1005">
      <c r="B1005" s="46"/>
    </row>
    <row r="1006">
      <c r="B1006" s="46"/>
    </row>
    <row r="1007">
      <c r="B1007" s="46"/>
    </row>
    <row r="1008">
      <c r="B1008" s="46"/>
    </row>
    <row r="1009">
      <c r="B1009" s="46"/>
    </row>
    <row r="1010">
      <c r="B1010" s="46"/>
    </row>
    <row r="1011">
      <c r="B1011" s="46"/>
    </row>
    <row r="1012">
      <c r="B1012" s="46"/>
    </row>
    <row r="1013">
      <c r="B1013" s="46"/>
    </row>
    <row r="1014">
      <c r="B1014" s="46"/>
    </row>
    <row r="1015">
      <c r="B1015" s="46"/>
    </row>
    <row r="1016">
      <c r="B1016" s="46"/>
    </row>
    <row r="1017">
      <c r="B1017" s="46"/>
    </row>
    <row r="1018">
      <c r="B1018" s="46"/>
    </row>
    <row r="1019">
      <c r="B1019" s="46"/>
    </row>
    <row r="1020">
      <c r="B1020" s="46"/>
    </row>
    <row r="1021">
      <c r="B1021" s="46"/>
    </row>
    <row r="1022">
      <c r="B1022" s="46"/>
    </row>
    <row r="1023">
      <c r="B1023" s="46"/>
    </row>
    <row r="1024">
      <c r="B1024" s="46"/>
    </row>
    <row r="1025">
      <c r="B1025" s="46"/>
    </row>
    <row r="1026">
      <c r="B1026" s="46"/>
    </row>
    <row r="1027">
      <c r="B1027" s="46"/>
    </row>
    <row r="1028">
      <c r="B1028" s="46"/>
    </row>
    <row r="1029">
      <c r="B1029" s="46"/>
    </row>
    <row r="1030">
      <c r="B1030" s="46"/>
    </row>
    <row r="1031">
      <c r="B1031" s="46"/>
    </row>
    <row r="1032">
      <c r="B1032" s="46"/>
    </row>
    <row r="1033">
      <c r="B1033" s="46"/>
    </row>
    <row r="1034">
      <c r="B1034" s="46"/>
    </row>
    <row r="1035">
      <c r="B1035" s="46"/>
    </row>
    <row r="1036">
      <c r="B1036" s="46"/>
    </row>
    <row r="1037">
      <c r="B1037" s="4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406</v>
      </c>
      <c r="B1" s="109" t="s">
        <v>98</v>
      </c>
    </row>
    <row r="2">
      <c r="A2" s="38" t="s">
        <v>199</v>
      </c>
      <c r="B2" s="109">
        <v>100.0</v>
      </c>
    </row>
    <row r="3">
      <c r="A3" s="38" t="s">
        <v>201</v>
      </c>
      <c r="B3" s="109">
        <v>100.0</v>
      </c>
    </row>
    <row r="4">
      <c r="A4" s="38" t="s">
        <v>407</v>
      </c>
      <c r="B4" s="109">
        <v>150.0</v>
      </c>
    </row>
    <row r="5">
      <c r="A5" s="38" t="s">
        <v>408</v>
      </c>
      <c r="B5" s="109">
        <v>250.0</v>
      </c>
    </row>
    <row r="6">
      <c r="A6" s="38" t="s">
        <v>409</v>
      </c>
      <c r="B6" s="109">
        <v>350.0</v>
      </c>
    </row>
    <row r="7">
      <c r="A7" s="38" t="s">
        <v>410</v>
      </c>
      <c r="B7" s="109">
        <v>450.0</v>
      </c>
    </row>
    <row r="8">
      <c r="A8" s="38" t="s">
        <v>411</v>
      </c>
      <c r="B8" s="109">
        <v>550.0</v>
      </c>
    </row>
    <row r="9">
      <c r="A9" s="38" t="s">
        <v>412</v>
      </c>
      <c r="B9" s="109">
        <v>650.0</v>
      </c>
    </row>
    <row r="10">
      <c r="B10" s="110"/>
    </row>
    <row r="11">
      <c r="B11" s="110"/>
    </row>
    <row r="12">
      <c r="B12" s="110"/>
    </row>
    <row r="13">
      <c r="B13" s="110"/>
    </row>
    <row r="14">
      <c r="B14" s="110"/>
    </row>
    <row r="15">
      <c r="B15" s="110"/>
    </row>
    <row r="16">
      <c r="B16" s="110"/>
    </row>
    <row r="17">
      <c r="B17" s="110"/>
    </row>
    <row r="18">
      <c r="B18" s="110"/>
    </row>
    <row r="19">
      <c r="B19" s="110"/>
    </row>
    <row r="20">
      <c r="B20" s="110"/>
    </row>
    <row r="21">
      <c r="B21" s="110"/>
    </row>
    <row r="22">
      <c r="B22" s="110"/>
    </row>
    <row r="23">
      <c r="B23" s="110"/>
    </row>
    <row r="24">
      <c r="B24" s="110"/>
    </row>
    <row r="25">
      <c r="B25" s="110"/>
    </row>
    <row r="26">
      <c r="B26" s="110"/>
    </row>
    <row r="27">
      <c r="B27" s="110"/>
    </row>
    <row r="28">
      <c r="B28" s="110"/>
    </row>
    <row r="29">
      <c r="B29" s="110"/>
    </row>
    <row r="30">
      <c r="B30" s="110"/>
    </row>
    <row r="31">
      <c r="B31" s="110"/>
    </row>
    <row r="32">
      <c r="B32" s="110"/>
    </row>
    <row r="33">
      <c r="B33" s="110"/>
    </row>
    <row r="34">
      <c r="B34" s="110"/>
    </row>
    <row r="35">
      <c r="B35" s="110"/>
    </row>
    <row r="36">
      <c r="B36" s="110"/>
    </row>
    <row r="37">
      <c r="B37" s="110"/>
    </row>
    <row r="38">
      <c r="B38" s="110"/>
    </row>
    <row r="39">
      <c r="B39" s="110"/>
    </row>
    <row r="40">
      <c r="B40" s="110"/>
    </row>
    <row r="41">
      <c r="B41" s="110"/>
    </row>
    <row r="42">
      <c r="B42" s="110"/>
    </row>
    <row r="43">
      <c r="B43" s="110"/>
    </row>
    <row r="44">
      <c r="B44" s="110"/>
    </row>
    <row r="45">
      <c r="B45" s="110"/>
    </row>
    <row r="46">
      <c r="B46" s="110"/>
    </row>
    <row r="47">
      <c r="B47" s="110"/>
    </row>
    <row r="48">
      <c r="B48" s="110"/>
    </row>
    <row r="49">
      <c r="B49" s="110"/>
    </row>
    <row r="50">
      <c r="B50" s="110"/>
    </row>
    <row r="51">
      <c r="B51" s="110"/>
    </row>
    <row r="52">
      <c r="B52" s="110"/>
    </row>
    <row r="53">
      <c r="B53" s="110"/>
    </row>
    <row r="54">
      <c r="B54" s="110"/>
    </row>
    <row r="55">
      <c r="B55" s="110"/>
    </row>
    <row r="56">
      <c r="B56" s="110"/>
    </row>
    <row r="57">
      <c r="B57" s="110"/>
    </row>
    <row r="58">
      <c r="B58" s="110"/>
    </row>
    <row r="59">
      <c r="B59" s="110"/>
    </row>
    <row r="60">
      <c r="B60" s="110"/>
    </row>
    <row r="61">
      <c r="B61" s="110"/>
    </row>
    <row r="62">
      <c r="B62" s="110"/>
    </row>
    <row r="63">
      <c r="B63" s="110"/>
    </row>
    <row r="64">
      <c r="B64" s="110"/>
    </row>
    <row r="65">
      <c r="B65" s="110"/>
    </row>
    <row r="66">
      <c r="B66" s="110"/>
    </row>
    <row r="67">
      <c r="B67" s="110"/>
    </row>
    <row r="68">
      <c r="B68" s="110"/>
    </row>
    <row r="69">
      <c r="B69" s="110"/>
    </row>
    <row r="70">
      <c r="B70" s="110"/>
    </row>
    <row r="71">
      <c r="B71" s="110"/>
    </row>
    <row r="72">
      <c r="B72" s="110"/>
    </row>
    <row r="73">
      <c r="B73" s="110"/>
    </row>
    <row r="74">
      <c r="B74" s="110"/>
    </row>
    <row r="75">
      <c r="B75" s="110"/>
    </row>
    <row r="76">
      <c r="B76" s="110"/>
    </row>
    <row r="77">
      <c r="B77" s="110"/>
    </row>
    <row r="78">
      <c r="B78" s="110"/>
    </row>
    <row r="79">
      <c r="B79" s="110"/>
    </row>
    <row r="80">
      <c r="B80" s="110"/>
    </row>
    <row r="81">
      <c r="B81" s="110"/>
    </row>
    <row r="82">
      <c r="B82" s="110"/>
    </row>
    <row r="83">
      <c r="B83" s="110"/>
    </row>
    <row r="84">
      <c r="B84" s="110"/>
    </row>
    <row r="85">
      <c r="B85" s="110"/>
    </row>
    <row r="86">
      <c r="B86" s="110"/>
    </row>
    <row r="87">
      <c r="B87" s="110"/>
    </row>
    <row r="88">
      <c r="B88" s="110"/>
    </row>
    <row r="89">
      <c r="B89" s="110"/>
    </row>
    <row r="90">
      <c r="B90" s="110"/>
    </row>
    <row r="91">
      <c r="B91" s="110"/>
    </row>
    <row r="92">
      <c r="B92" s="110"/>
    </row>
    <row r="93">
      <c r="B93" s="110"/>
    </row>
    <row r="94">
      <c r="B94" s="110"/>
    </row>
    <row r="95">
      <c r="B95" s="110"/>
    </row>
    <row r="96">
      <c r="B96" s="110"/>
    </row>
    <row r="97">
      <c r="B97" s="110"/>
    </row>
    <row r="98">
      <c r="B98" s="110"/>
    </row>
    <row r="99">
      <c r="B99" s="110"/>
    </row>
    <row r="100">
      <c r="B100" s="110"/>
    </row>
    <row r="101">
      <c r="B101" s="110"/>
    </row>
    <row r="102">
      <c r="B102" s="110"/>
    </row>
    <row r="103">
      <c r="B103" s="110"/>
    </row>
    <row r="104">
      <c r="B104" s="110"/>
    </row>
    <row r="105">
      <c r="B105" s="110"/>
    </row>
    <row r="106">
      <c r="B106" s="110"/>
    </row>
    <row r="107">
      <c r="B107" s="110"/>
    </row>
    <row r="108">
      <c r="B108" s="110"/>
    </row>
    <row r="109">
      <c r="B109" s="110"/>
    </row>
    <row r="110">
      <c r="B110" s="110"/>
    </row>
    <row r="111">
      <c r="B111" s="110"/>
    </row>
    <row r="112">
      <c r="B112" s="110"/>
    </row>
    <row r="113">
      <c r="B113" s="110"/>
    </row>
    <row r="114">
      <c r="B114" s="110"/>
    </row>
    <row r="115">
      <c r="B115" s="110"/>
    </row>
    <row r="116">
      <c r="B116" s="110"/>
    </row>
    <row r="117">
      <c r="B117" s="110"/>
    </row>
    <row r="118">
      <c r="B118" s="110"/>
    </row>
    <row r="119">
      <c r="B119" s="110"/>
    </row>
    <row r="120">
      <c r="B120" s="110"/>
    </row>
    <row r="121">
      <c r="B121" s="110"/>
    </row>
    <row r="122">
      <c r="B122" s="110"/>
    </row>
    <row r="123">
      <c r="B123" s="110"/>
    </row>
    <row r="124">
      <c r="B124" s="110"/>
    </row>
    <row r="125">
      <c r="B125" s="110"/>
    </row>
    <row r="126">
      <c r="B126" s="110"/>
    </row>
    <row r="127">
      <c r="B127" s="110"/>
    </row>
    <row r="128">
      <c r="B128" s="110"/>
    </row>
    <row r="129">
      <c r="B129" s="110"/>
    </row>
    <row r="130">
      <c r="B130" s="110"/>
    </row>
    <row r="131">
      <c r="B131" s="110"/>
    </row>
    <row r="132">
      <c r="B132" s="110"/>
    </row>
    <row r="133">
      <c r="B133" s="110"/>
    </row>
    <row r="134">
      <c r="B134" s="110"/>
    </row>
    <row r="135">
      <c r="B135" s="110"/>
    </row>
    <row r="136">
      <c r="B136" s="110"/>
    </row>
    <row r="137">
      <c r="B137" s="110"/>
    </row>
    <row r="138">
      <c r="B138" s="110"/>
    </row>
    <row r="139">
      <c r="B139" s="110"/>
    </row>
    <row r="140">
      <c r="B140" s="110"/>
    </row>
    <row r="141">
      <c r="B141" s="110"/>
    </row>
    <row r="142">
      <c r="B142" s="110"/>
    </row>
    <row r="143">
      <c r="B143" s="110"/>
    </row>
    <row r="144">
      <c r="B144" s="110"/>
    </row>
    <row r="145">
      <c r="B145" s="110"/>
    </row>
    <row r="146">
      <c r="B146" s="110"/>
    </row>
    <row r="147">
      <c r="B147" s="110"/>
    </row>
    <row r="148">
      <c r="B148" s="110"/>
    </row>
    <row r="149">
      <c r="B149" s="110"/>
    </row>
    <row r="150">
      <c r="B150" s="110"/>
    </row>
    <row r="151">
      <c r="B151" s="110"/>
    </row>
    <row r="152">
      <c r="B152" s="110"/>
    </row>
    <row r="153">
      <c r="B153" s="110"/>
    </row>
    <row r="154">
      <c r="B154" s="110"/>
    </row>
    <row r="155">
      <c r="B155" s="110"/>
    </row>
    <row r="156">
      <c r="B156" s="110"/>
    </row>
    <row r="157">
      <c r="B157" s="110"/>
    </row>
    <row r="158">
      <c r="B158" s="110"/>
    </row>
    <row r="159">
      <c r="B159" s="110"/>
    </row>
    <row r="160">
      <c r="B160" s="110"/>
    </row>
    <row r="161">
      <c r="B161" s="110"/>
    </row>
    <row r="162">
      <c r="B162" s="110"/>
    </row>
    <row r="163">
      <c r="B163" s="110"/>
    </row>
    <row r="164">
      <c r="B164" s="110"/>
    </row>
    <row r="165">
      <c r="B165" s="110"/>
    </row>
    <row r="166">
      <c r="B166" s="110"/>
    </row>
    <row r="167">
      <c r="B167" s="110"/>
    </row>
    <row r="168">
      <c r="B168" s="110"/>
    </row>
    <row r="169">
      <c r="B169" s="110"/>
    </row>
    <row r="170">
      <c r="B170" s="110"/>
    </row>
    <row r="171">
      <c r="B171" s="110"/>
    </row>
    <row r="172">
      <c r="B172" s="110"/>
    </row>
    <row r="173">
      <c r="B173" s="110"/>
    </row>
    <row r="174">
      <c r="B174" s="110"/>
    </row>
    <row r="175">
      <c r="B175" s="110"/>
    </row>
    <row r="176">
      <c r="B176" s="110"/>
    </row>
    <row r="177">
      <c r="B177" s="110"/>
    </row>
    <row r="178">
      <c r="B178" s="110"/>
    </row>
    <row r="179">
      <c r="B179" s="110"/>
    </row>
    <row r="180">
      <c r="B180" s="110"/>
    </row>
    <row r="181">
      <c r="B181" s="110"/>
    </row>
    <row r="182">
      <c r="B182" s="110"/>
    </row>
    <row r="183">
      <c r="B183" s="110"/>
    </row>
    <row r="184">
      <c r="B184" s="110"/>
    </row>
    <row r="185">
      <c r="B185" s="110"/>
    </row>
    <row r="186">
      <c r="B186" s="110"/>
    </row>
    <row r="187">
      <c r="B187" s="110"/>
    </row>
    <row r="188">
      <c r="B188" s="110"/>
    </row>
    <row r="189">
      <c r="B189" s="110"/>
    </row>
    <row r="190">
      <c r="B190" s="110"/>
    </row>
    <row r="191">
      <c r="B191" s="110"/>
    </row>
    <row r="192">
      <c r="B192" s="110"/>
    </row>
    <row r="193">
      <c r="B193" s="110"/>
    </row>
    <row r="194">
      <c r="B194" s="110"/>
    </row>
    <row r="195">
      <c r="B195" s="110"/>
    </row>
    <row r="196">
      <c r="B196" s="110"/>
    </row>
    <row r="197">
      <c r="B197" s="110"/>
    </row>
    <row r="198">
      <c r="B198" s="110"/>
    </row>
    <row r="199">
      <c r="B199" s="110"/>
    </row>
    <row r="200">
      <c r="B200" s="110"/>
    </row>
    <row r="201">
      <c r="B201" s="110"/>
    </row>
    <row r="202">
      <c r="B202" s="110"/>
    </row>
    <row r="203">
      <c r="B203" s="110"/>
    </row>
    <row r="204">
      <c r="B204" s="110"/>
    </row>
    <row r="205">
      <c r="B205" s="110"/>
    </row>
    <row r="206">
      <c r="B206" s="110"/>
    </row>
    <row r="207">
      <c r="B207" s="110"/>
    </row>
    <row r="208">
      <c r="B208" s="110"/>
    </row>
    <row r="209">
      <c r="B209" s="110"/>
    </row>
    <row r="210">
      <c r="B210" s="110"/>
    </row>
    <row r="211">
      <c r="B211" s="110"/>
    </row>
    <row r="212">
      <c r="B212" s="110"/>
    </row>
    <row r="213">
      <c r="B213" s="110"/>
    </row>
    <row r="214">
      <c r="B214" s="110"/>
    </row>
    <row r="215">
      <c r="B215" s="110"/>
    </row>
    <row r="216">
      <c r="B216" s="110"/>
    </row>
    <row r="217">
      <c r="B217" s="110"/>
    </row>
    <row r="218">
      <c r="B218" s="110"/>
    </row>
    <row r="219">
      <c r="B219" s="110"/>
    </row>
    <row r="220">
      <c r="B220" s="110"/>
    </row>
    <row r="221">
      <c r="B221" s="110"/>
    </row>
    <row r="222">
      <c r="B222" s="110"/>
    </row>
    <row r="223">
      <c r="B223" s="110"/>
    </row>
    <row r="224">
      <c r="B224" s="110"/>
    </row>
    <row r="225">
      <c r="B225" s="110"/>
    </row>
    <row r="226">
      <c r="B226" s="110"/>
    </row>
    <row r="227">
      <c r="B227" s="110"/>
    </row>
    <row r="228">
      <c r="B228" s="110"/>
    </row>
    <row r="229">
      <c r="B229" s="110"/>
    </row>
    <row r="230">
      <c r="B230" s="110"/>
    </row>
    <row r="231">
      <c r="B231" s="110"/>
    </row>
    <row r="232">
      <c r="B232" s="110"/>
    </row>
    <row r="233">
      <c r="B233" s="110"/>
    </row>
    <row r="234">
      <c r="B234" s="110"/>
    </row>
    <row r="235">
      <c r="B235" s="110"/>
    </row>
    <row r="236">
      <c r="B236" s="110"/>
    </row>
    <row r="237">
      <c r="B237" s="110"/>
    </row>
    <row r="238">
      <c r="B238" s="110"/>
    </row>
    <row r="239">
      <c r="B239" s="110"/>
    </row>
    <row r="240">
      <c r="B240" s="110"/>
    </row>
    <row r="241">
      <c r="B241" s="110"/>
    </row>
    <row r="242">
      <c r="B242" s="110"/>
    </row>
    <row r="243">
      <c r="B243" s="110"/>
    </row>
    <row r="244">
      <c r="B244" s="110"/>
    </row>
    <row r="245">
      <c r="B245" s="110"/>
    </row>
    <row r="246">
      <c r="B246" s="110"/>
    </row>
    <row r="247">
      <c r="B247" s="110"/>
    </row>
    <row r="248">
      <c r="B248" s="110"/>
    </row>
    <row r="249">
      <c r="B249" s="110"/>
    </row>
    <row r="250">
      <c r="B250" s="110"/>
    </row>
    <row r="251">
      <c r="B251" s="110"/>
    </row>
    <row r="252">
      <c r="B252" s="110"/>
    </row>
    <row r="253">
      <c r="B253" s="110"/>
    </row>
    <row r="254">
      <c r="B254" s="110"/>
    </row>
    <row r="255">
      <c r="B255" s="110"/>
    </row>
    <row r="256">
      <c r="B256" s="110"/>
    </row>
    <row r="257">
      <c r="B257" s="110"/>
    </row>
    <row r="258">
      <c r="B258" s="110"/>
    </row>
    <row r="259">
      <c r="B259" s="110"/>
    </row>
    <row r="260">
      <c r="B260" s="110"/>
    </row>
    <row r="261">
      <c r="B261" s="110"/>
    </row>
    <row r="262">
      <c r="B262" s="110"/>
    </row>
    <row r="263">
      <c r="B263" s="110"/>
    </row>
    <row r="264">
      <c r="B264" s="110"/>
    </row>
    <row r="265">
      <c r="B265" s="110"/>
    </row>
    <row r="266">
      <c r="B266" s="110"/>
    </row>
    <row r="267">
      <c r="B267" s="110"/>
    </row>
    <row r="268">
      <c r="B268" s="110"/>
    </row>
    <row r="269">
      <c r="B269" s="110"/>
    </row>
    <row r="270">
      <c r="B270" s="110"/>
    </row>
    <row r="271">
      <c r="B271" s="110"/>
    </row>
    <row r="272">
      <c r="B272" s="110"/>
    </row>
    <row r="273">
      <c r="B273" s="110"/>
    </row>
    <row r="274">
      <c r="B274" s="110"/>
    </row>
    <row r="275">
      <c r="B275" s="110"/>
    </row>
    <row r="276">
      <c r="B276" s="110"/>
    </row>
    <row r="277">
      <c r="B277" s="110"/>
    </row>
    <row r="278">
      <c r="B278" s="110"/>
    </row>
    <row r="279">
      <c r="B279" s="110"/>
    </row>
    <row r="280">
      <c r="B280" s="110"/>
    </row>
    <row r="281">
      <c r="B281" s="110"/>
    </row>
    <row r="282">
      <c r="B282" s="110"/>
    </row>
    <row r="283">
      <c r="B283" s="110"/>
    </row>
    <row r="284">
      <c r="B284" s="110"/>
    </row>
    <row r="285">
      <c r="B285" s="110"/>
    </row>
    <row r="286">
      <c r="B286" s="110"/>
    </row>
    <row r="287">
      <c r="B287" s="110"/>
    </row>
    <row r="288">
      <c r="B288" s="110"/>
    </row>
    <row r="289">
      <c r="B289" s="110"/>
    </row>
    <row r="290">
      <c r="B290" s="110"/>
    </row>
    <row r="291">
      <c r="B291" s="110"/>
    </row>
    <row r="292">
      <c r="B292" s="110"/>
    </row>
    <row r="293">
      <c r="B293" s="110"/>
    </row>
    <row r="294">
      <c r="B294" s="110"/>
    </row>
    <row r="295">
      <c r="B295" s="110"/>
    </row>
    <row r="296">
      <c r="B296" s="110"/>
    </row>
    <row r="297">
      <c r="B297" s="110"/>
    </row>
    <row r="298">
      <c r="B298" s="110"/>
    </row>
    <row r="299">
      <c r="B299" s="110"/>
    </row>
    <row r="300">
      <c r="B300" s="110"/>
    </row>
    <row r="301">
      <c r="B301" s="110"/>
    </row>
    <row r="302">
      <c r="B302" s="110"/>
    </row>
    <row r="303">
      <c r="B303" s="110"/>
    </row>
    <row r="304">
      <c r="B304" s="110"/>
    </row>
    <row r="305">
      <c r="B305" s="110"/>
    </row>
    <row r="306">
      <c r="B306" s="110"/>
    </row>
    <row r="307">
      <c r="B307" s="110"/>
    </row>
    <row r="308">
      <c r="B308" s="110"/>
    </row>
    <row r="309">
      <c r="B309" s="110"/>
    </row>
    <row r="310">
      <c r="B310" s="110"/>
    </row>
    <row r="311">
      <c r="B311" s="110"/>
    </row>
    <row r="312">
      <c r="B312" s="110"/>
    </row>
    <row r="313">
      <c r="B313" s="110"/>
    </row>
    <row r="314">
      <c r="B314" s="110"/>
    </row>
    <row r="315">
      <c r="B315" s="110"/>
    </row>
    <row r="316">
      <c r="B316" s="110"/>
    </row>
    <row r="317">
      <c r="B317" s="110"/>
    </row>
    <row r="318">
      <c r="B318" s="110"/>
    </row>
    <row r="319">
      <c r="B319" s="110"/>
    </row>
    <row r="320">
      <c r="B320" s="110"/>
    </row>
    <row r="321">
      <c r="B321" s="110"/>
    </row>
    <row r="322">
      <c r="B322" s="110"/>
    </row>
    <row r="323">
      <c r="B323" s="110"/>
    </row>
    <row r="324">
      <c r="B324" s="110"/>
    </row>
    <row r="325">
      <c r="B325" s="110"/>
    </row>
    <row r="326">
      <c r="B326" s="110"/>
    </row>
    <row r="327">
      <c r="B327" s="110"/>
    </row>
    <row r="328">
      <c r="B328" s="110"/>
    </row>
    <row r="329">
      <c r="B329" s="110"/>
    </row>
    <row r="330">
      <c r="B330" s="110"/>
    </row>
    <row r="331">
      <c r="B331" s="110"/>
    </row>
    <row r="332">
      <c r="B332" s="110"/>
    </row>
    <row r="333">
      <c r="B333" s="110"/>
    </row>
    <row r="334">
      <c r="B334" s="110"/>
    </row>
    <row r="335">
      <c r="B335" s="110"/>
    </row>
    <row r="336">
      <c r="B336" s="110"/>
    </row>
    <row r="337">
      <c r="B337" s="110"/>
    </row>
    <row r="338">
      <c r="B338" s="110"/>
    </row>
    <row r="339">
      <c r="B339" s="110"/>
    </row>
    <row r="340">
      <c r="B340" s="110"/>
    </row>
    <row r="341">
      <c r="B341" s="110"/>
    </row>
    <row r="342">
      <c r="B342" s="110"/>
    </row>
    <row r="343">
      <c r="B343" s="110"/>
    </row>
    <row r="344">
      <c r="B344" s="110"/>
    </row>
    <row r="345">
      <c r="B345" s="110"/>
    </row>
    <row r="346">
      <c r="B346" s="110"/>
    </row>
    <row r="347">
      <c r="B347" s="110"/>
    </row>
    <row r="348">
      <c r="B348" s="110"/>
    </row>
    <row r="349">
      <c r="B349" s="110"/>
    </row>
    <row r="350">
      <c r="B350" s="110"/>
    </row>
    <row r="351">
      <c r="B351" s="110"/>
    </row>
    <row r="352">
      <c r="B352" s="110"/>
    </row>
    <row r="353">
      <c r="B353" s="110"/>
    </row>
    <row r="354">
      <c r="B354" s="110"/>
    </row>
    <row r="355">
      <c r="B355" s="110"/>
    </row>
    <row r="356">
      <c r="B356" s="110"/>
    </row>
    <row r="357">
      <c r="B357" s="110"/>
    </row>
    <row r="358">
      <c r="B358" s="110"/>
    </row>
    <row r="359">
      <c r="B359" s="110"/>
    </row>
    <row r="360">
      <c r="B360" s="110"/>
    </row>
    <row r="361">
      <c r="B361" s="110"/>
    </row>
    <row r="362">
      <c r="B362" s="110"/>
    </row>
    <row r="363">
      <c r="B363" s="110"/>
    </row>
    <row r="364">
      <c r="B364" s="110"/>
    </row>
    <row r="365">
      <c r="B365" s="110"/>
    </row>
    <row r="366">
      <c r="B366" s="110"/>
    </row>
    <row r="367">
      <c r="B367" s="110"/>
    </row>
    <row r="368">
      <c r="B368" s="110"/>
    </row>
    <row r="369">
      <c r="B369" s="110"/>
    </row>
    <row r="370">
      <c r="B370" s="110"/>
    </row>
    <row r="371">
      <c r="B371" s="110"/>
    </row>
    <row r="372">
      <c r="B372" s="110"/>
    </row>
    <row r="373">
      <c r="B373" s="110"/>
    </row>
    <row r="374">
      <c r="B374" s="110"/>
    </row>
    <row r="375">
      <c r="B375" s="110"/>
    </row>
    <row r="376">
      <c r="B376" s="110"/>
    </row>
    <row r="377">
      <c r="B377" s="110"/>
    </row>
    <row r="378">
      <c r="B378" s="110"/>
    </row>
    <row r="379">
      <c r="B379" s="110"/>
    </row>
    <row r="380">
      <c r="B380" s="110"/>
    </row>
    <row r="381">
      <c r="B381" s="110"/>
    </row>
    <row r="382">
      <c r="B382" s="110"/>
    </row>
    <row r="383">
      <c r="B383" s="110"/>
    </row>
    <row r="384">
      <c r="B384" s="110"/>
    </row>
    <row r="385">
      <c r="B385" s="110"/>
    </row>
    <row r="386">
      <c r="B386" s="110"/>
    </row>
    <row r="387">
      <c r="B387" s="110"/>
    </row>
    <row r="388">
      <c r="B388" s="110"/>
    </row>
    <row r="389">
      <c r="B389" s="110"/>
    </row>
    <row r="390">
      <c r="B390" s="110"/>
    </row>
    <row r="391">
      <c r="B391" s="110"/>
    </row>
    <row r="392">
      <c r="B392" s="110"/>
    </row>
    <row r="393">
      <c r="B393" s="110"/>
    </row>
    <row r="394">
      <c r="B394" s="110"/>
    </row>
    <row r="395">
      <c r="B395" s="110"/>
    </row>
    <row r="396">
      <c r="B396" s="110"/>
    </row>
    <row r="397">
      <c r="B397" s="110"/>
    </row>
    <row r="398">
      <c r="B398" s="110"/>
    </row>
    <row r="399">
      <c r="B399" s="110"/>
    </row>
    <row r="400">
      <c r="B400" s="110"/>
    </row>
    <row r="401">
      <c r="B401" s="110"/>
    </row>
    <row r="402">
      <c r="B402" s="110"/>
    </row>
    <row r="403">
      <c r="B403" s="110"/>
    </row>
    <row r="404">
      <c r="B404" s="110"/>
    </row>
    <row r="405">
      <c r="B405" s="110"/>
    </row>
    <row r="406">
      <c r="B406" s="110"/>
    </row>
    <row r="407">
      <c r="B407" s="110"/>
    </row>
    <row r="408">
      <c r="B408" s="110"/>
    </row>
    <row r="409">
      <c r="B409" s="110"/>
    </row>
    <row r="410">
      <c r="B410" s="110"/>
    </row>
    <row r="411">
      <c r="B411" s="110"/>
    </row>
    <row r="412">
      <c r="B412" s="110"/>
    </row>
    <row r="413">
      <c r="B413" s="110"/>
    </row>
    <row r="414">
      <c r="B414" s="110"/>
    </row>
    <row r="415">
      <c r="B415" s="110"/>
    </row>
    <row r="416">
      <c r="B416" s="110"/>
    </row>
    <row r="417">
      <c r="B417" s="110"/>
    </row>
    <row r="418">
      <c r="B418" s="110"/>
    </row>
    <row r="419">
      <c r="B419" s="110"/>
    </row>
    <row r="420">
      <c r="B420" s="110"/>
    </row>
    <row r="421">
      <c r="B421" s="110"/>
    </row>
    <row r="422">
      <c r="B422" s="110"/>
    </row>
    <row r="423">
      <c r="B423" s="110"/>
    </row>
    <row r="424">
      <c r="B424" s="110"/>
    </row>
    <row r="425">
      <c r="B425" s="110"/>
    </row>
    <row r="426">
      <c r="B426" s="110"/>
    </row>
    <row r="427">
      <c r="B427" s="110"/>
    </row>
    <row r="428">
      <c r="B428" s="110"/>
    </row>
    <row r="429">
      <c r="B429" s="110"/>
    </row>
    <row r="430">
      <c r="B430" s="110"/>
    </row>
    <row r="431">
      <c r="B431" s="110"/>
    </row>
    <row r="432">
      <c r="B432" s="110"/>
    </row>
    <row r="433">
      <c r="B433" s="110"/>
    </row>
    <row r="434">
      <c r="B434" s="110"/>
    </row>
    <row r="435">
      <c r="B435" s="110"/>
    </row>
    <row r="436">
      <c r="B436" s="110"/>
    </row>
    <row r="437">
      <c r="B437" s="110"/>
    </row>
    <row r="438">
      <c r="B438" s="110"/>
    </row>
    <row r="439">
      <c r="B439" s="110"/>
    </row>
    <row r="440">
      <c r="B440" s="110"/>
    </row>
    <row r="441">
      <c r="B441" s="110"/>
    </row>
    <row r="442">
      <c r="B442" s="110"/>
    </row>
    <row r="443">
      <c r="B443" s="110"/>
    </row>
    <row r="444">
      <c r="B444" s="110"/>
    </row>
    <row r="445">
      <c r="B445" s="110"/>
    </row>
    <row r="446">
      <c r="B446" s="110"/>
    </row>
    <row r="447">
      <c r="B447" s="110"/>
    </row>
    <row r="448">
      <c r="B448" s="110"/>
    </row>
    <row r="449">
      <c r="B449" s="110"/>
    </row>
    <row r="450">
      <c r="B450" s="110"/>
    </row>
    <row r="451">
      <c r="B451" s="110"/>
    </row>
    <row r="452">
      <c r="B452" s="110"/>
    </row>
    <row r="453">
      <c r="B453" s="110"/>
    </row>
    <row r="454">
      <c r="B454" s="110"/>
    </row>
    <row r="455">
      <c r="B455" s="110"/>
    </row>
    <row r="456">
      <c r="B456" s="110"/>
    </row>
    <row r="457">
      <c r="B457" s="110"/>
    </row>
    <row r="458">
      <c r="B458" s="110"/>
    </row>
    <row r="459">
      <c r="B459" s="110"/>
    </row>
    <row r="460">
      <c r="B460" s="110"/>
    </row>
    <row r="461">
      <c r="B461" s="110"/>
    </row>
    <row r="462">
      <c r="B462" s="110"/>
    </row>
    <row r="463">
      <c r="B463" s="110"/>
    </row>
    <row r="464">
      <c r="B464" s="110"/>
    </row>
    <row r="465">
      <c r="B465" s="110"/>
    </row>
    <row r="466">
      <c r="B466" s="110"/>
    </row>
    <row r="467">
      <c r="B467" s="110"/>
    </row>
    <row r="468">
      <c r="B468" s="110"/>
    </row>
    <row r="469">
      <c r="B469" s="110"/>
    </row>
    <row r="470">
      <c r="B470" s="110"/>
    </row>
    <row r="471">
      <c r="B471" s="110"/>
    </row>
    <row r="472">
      <c r="B472" s="110"/>
    </row>
    <row r="473">
      <c r="B473" s="110"/>
    </row>
    <row r="474">
      <c r="B474" s="110"/>
    </row>
    <row r="475">
      <c r="B475" s="110"/>
    </row>
    <row r="476">
      <c r="B476" s="110"/>
    </row>
    <row r="477">
      <c r="B477" s="110"/>
    </row>
    <row r="478">
      <c r="B478" s="110"/>
    </row>
    <row r="479">
      <c r="B479" s="110"/>
    </row>
    <row r="480">
      <c r="B480" s="110"/>
    </row>
    <row r="481">
      <c r="B481" s="110"/>
    </row>
    <row r="482">
      <c r="B482" s="110"/>
    </row>
    <row r="483">
      <c r="B483" s="110"/>
    </row>
    <row r="484">
      <c r="B484" s="110"/>
    </row>
    <row r="485">
      <c r="B485" s="110"/>
    </row>
    <row r="486">
      <c r="B486" s="110"/>
    </row>
    <row r="487">
      <c r="B487" s="110"/>
    </row>
    <row r="488">
      <c r="B488" s="110"/>
    </row>
    <row r="489">
      <c r="B489" s="110"/>
    </row>
    <row r="490">
      <c r="B490" s="110"/>
    </row>
    <row r="491">
      <c r="B491" s="110"/>
    </row>
    <row r="492">
      <c r="B492" s="110"/>
    </row>
    <row r="493">
      <c r="B493" s="110"/>
    </row>
    <row r="494">
      <c r="B494" s="110"/>
    </row>
    <row r="495">
      <c r="B495" s="110"/>
    </row>
    <row r="496">
      <c r="B496" s="110"/>
    </row>
    <row r="497">
      <c r="B497" s="110"/>
    </row>
    <row r="498">
      <c r="B498" s="110"/>
    </row>
    <row r="499">
      <c r="B499" s="110"/>
    </row>
    <row r="500">
      <c r="B500" s="110"/>
    </row>
    <row r="501">
      <c r="B501" s="110"/>
    </row>
    <row r="502">
      <c r="B502" s="110"/>
    </row>
    <row r="503">
      <c r="B503" s="110"/>
    </row>
    <row r="504">
      <c r="B504" s="110"/>
    </row>
    <row r="505">
      <c r="B505" s="110"/>
    </row>
    <row r="506">
      <c r="B506" s="110"/>
    </row>
    <row r="507">
      <c r="B507" s="110"/>
    </row>
    <row r="508">
      <c r="B508" s="110"/>
    </row>
    <row r="509">
      <c r="B509" s="110"/>
    </row>
    <row r="510">
      <c r="B510" s="110"/>
    </row>
    <row r="511">
      <c r="B511" s="110"/>
    </row>
    <row r="512">
      <c r="B512" s="110"/>
    </row>
    <row r="513">
      <c r="B513" s="110"/>
    </row>
    <row r="514">
      <c r="B514" s="110"/>
    </row>
    <row r="515">
      <c r="B515" s="110"/>
    </row>
    <row r="516">
      <c r="B516" s="110"/>
    </row>
    <row r="517">
      <c r="B517" s="110"/>
    </row>
    <row r="518">
      <c r="B518" s="110"/>
    </row>
    <row r="519">
      <c r="B519" s="110"/>
    </row>
    <row r="520">
      <c r="B520" s="110"/>
    </row>
    <row r="521">
      <c r="B521" s="110"/>
    </row>
    <row r="522">
      <c r="B522" s="110"/>
    </row>
    <row r="523">
      <c r="B523" s="110"/>
    </row>
    <row r="524">
      <c r="B524" s="110"/>
    </row>
    <row r="525">
      <c r="B525" s="110"/>
    </row>
    <row r="526">
      <c r="B526" s="110"/>
    </row>
    <row r="527">
      <c r="B527" s="110"/>
    </row>
    <row r="528">
      <c r="B528" s="110"/>
    </row>
    <row r="529">
      <c r="B529" s="110"/>
    </row>
    <row r="530">
      <c r="B530" s="110"/>
    </row>
    <row r="531">
      <c r="B531" s="110"/>
    </row>
    <row r="532">
      <c r="B532" s="110"/>
    </row>
    <row r="533">
      <c r="B533" s="110"/>
    </row>
    <row r="534">
      <c r="B534" s="110"/>
    </row>
    <row r="535">
      <c r="B535" s="110"/>
    </row>
    <row r="536">
      <c r="B536" s="110"/>
    </row>
    <row r="537">
      <c r="B537" s="110"/>
    </row>
    <row r="538">
      <c r="B538" s="110"/>
    </row>
    <row r="539">
      <c r="B539" s="110"/>
    </row>
    <row r="540">
      <c r="B540" s="110"/>
    </row>
    <row r="541">
      <c r="B541" s="110"/>
    </row>
    <row r="542">
      <c r="B542" s="110"/>
    </row>
    <row r="543">
      <c r="B543" s="110"/>
    </row>
    <row r="544">
      <c r="B544" s="110"/>
    </row>
    <row r="545">
      <c r="B545" s="110"/>
    </row>
    <row r="546">
      <c r="B546" s="110"/>
    </row>
    <row r="547">
      <c r="B547" s="110"/>
    </row>
    <row r="548">
      <c r="B548" s="110"/>
    </row>
    <row r="549">
      <c r="B549" s="110"/>
    </row>
    <row r="550">
      <c r="B550" s="110"/>
    </row>
    <row r="551">
      <c r="B551" s="110"/>
    </row>
    <row r="552">
      <c r="B552" s="110"/>
    </row>
    <row r="553">
      <c r="B553" s="110"/>
    </row>
    <row r="554">
      <c r="B554" s="110"/>
    </row>
    <row r="555">
      <c r="B555" s="110"/>
    </row>
    <row r="556">
      <c r="B556" s="110"/>
    </row>
    <row r="557">
      <c r="B557" s="110"/>
    </row>
    <row r="558">
      <c r="B558" s="110"/>
    </row>
    <row r="559">
      <c r="B559" s="110"/>
    </row>
    <row r="560">
      <c r="B560" s="110"/>
    </row>
    <row r="561">
      <c r="B561" s="110"/>
    </row>
    <row r="562">
      <c r="B562" s="110"/>
    </row>
    <row r="563">
      <c r="B563" s="110"/>
    </row>
    <row r="564">
      <c r="B564" s="110"/>
    </row>
    <row r="565">
      <c r="B565" s="110"/>
    </row>
    <row r="566">
      <c r="B566" s="110"/>
    </row>
    <row r="567">
      <c r="B567" s="110"/>
    </row>
    <row r="568">
      <c r="B568" s="110"/>
    </row>
    <row r="569">
      <c r="B569" s="110"/>
    </row>
    <row r="570">
      <c r="B570" s="110"/>
    </row>
    <row r="571">
      <c r="B571" s="110"/>
    </row>
    <row r="572">
      <c r="B572" s="110"/>
    </row>
    <row r="573">
      <c r="B573" s="110"/>
    </row>
    <row r="574">
      <c r="B574" s="110"/>
    </row>
    <row r="575">
      <c r="B575" s="110"/>
    </row>
    <row r="576">
      <c r="B576" s="110"/>
    </row>
    <row r="577">
      <c r="B577" s="110"/>
    </row>
    <row r="578">
      <c r="B578" s="110"/>
    </row>
    <row r="579">
      <c r="B579" s="110"/>
    </row>
    <row r="580">
      <c r="B580" s="110"/>
    </row>
    <row r="581">
      <c r="B581" s="110"/>
    </row>
    <row r="582">
      <c r="B582" s="110"/>
    </row>
    <row r="583">
      <c r="B583" s="110"/>
    </row>
    <row r="584">
      <c r="B584" s="110"/>
    </row>
    <row r="585">
      <c r="B585" s="110"/>
    </row>
    <row r="586">
      <c r="B586" s="110"/>
    </row>
    <row r="587">
      <c r="B587" s="110"/>
    </row>
    <row r="588">
      <c r="B588" s="110"/>
    </row>
    <row r="589">
      <c r="B589" s="110"/>
    </row>
    <row r="590">
      <c r="B590" s="110"/>
    </row>
    <row r="591">
      <c r="B591" s="110"/>
    </row>
    <row r="592">
      <c r="B592" s="110"/>
    </row>
    <row r="593">
      <c r="B593" s="110"/>
    </row>
    <row r="594">
      <c r="B594" s="110"/>
    </row>
    <row r="595">
      <c r="B595" s="110"/>
    </row>
    <row r="596">
      <c r="B596" s="110"/>
    </row>
    <row r="597">
      <c r="B597" s="110"/>
    </row>
    <row r="598">
      <c r="B598" s="110"/>
    </row>
    <row r="599">
      <c r="B599" s="110"/>
    </row>
    <row r="600">
      <c r="B600" s="110"/>
    </row>
    <row r="601">
      <c r="B601" s="110"/>
    </row>
    <row r="602">
      <c r="B602" s="110"/>
    </row>
    <row r="603">
      <c r="B603" s="110"/>
    </row>
    <row r="604">
      <c r="B604" s="110"/>
    </row>
    <row r="605">
      <c r="B605" s="110"/>
    </row>
    <row r="606">
      <c r="B606" s="110"/>
    </row>
    <row r="607">
      <c r="B607" s="110"/>
    </row>
    <row r="608">
      <c r="B608" s="110"/>
    </row>
    <row r="609">
      <c r="B609" s="110"/>
    </row>
    <row r="610">
      <c r="B610" s="110"/>
    </row>
    <row r="611">
      <c r="B611" s="110"/>
    </row>
    <row r="612">
      <c r="B612" s="110"/>
    </row>
    <row r="613">
      <c r="B613" s="110"/>
    </row>
    <row r="614">
      <c r="B614" s="110"/>
    </row>
    <row r="615">
      <c r="B615" s="110"/>
    </row>
    <row r="616">
      <c r="B616" s="110"/>
    </row>
    <row r="617">
      <c r="B617" s="110"/>
    </row>
    <row r="618">
      <c r="B618" s="110"/>
    </row>
    <row r="619">
      <c r="B619" s="110"/>
    </row>
    <row r="620">
      <c r="B620" s="110"/>
    </row>
    <row r="621">
      <c r="B621" s="110"/>
    </row>
    <row r="622">
      <c r="B622" s="110"/>
    </row>
    <row r="623">
      <c r="B623" s="110"/>
    </row>
    <row r="624">
      <c r="B624" s="110"/>
    </row>
    <row r="625">
      <c r="B625" s="110"/>
    </row>
    <row r="626">
      <c r="B626" s="110"/>
    </row>
    <row r="627">
      <c r="B627" s="110"/>
    </row>
    <row r="628">
      <c r="B628" s="110"/>
    </row>
    <row r="629">
      <c r="B629" s="110"/>
    </row>
    <row r="630">
      <c r="B630" s="110"/>
    </row>
    <row r="631">
      <c r="B631" s="110"/>
    </row>
    <row r="632">
      <c r="B632" s="110"/>
    </row>
    <row r="633">
      <c r="B633" s="110"/>
    </row>
    <row r="634">
      <c r="B634" s="110"/>
    </row>
    <row r="635">
      <c r="B635" s="110"/>
    </row>
    <row r="636">
      <c r="B636" s="110"/>
    </row>
    <row r="637">
      <c r="B637" s="110"/>
    </row>
    <row r="638">
      <c r="B638" s="110"/>
    </row>
    <row r="639">
      <c r="B639" s="110"/>
    </row>
    <row r="640">
      <c r="B640" s="110"/>
    </row>
    <row r="641">
      <c r="B641" s="110"/>
    </row>
    <row r="642">
      <c r="B642" s="110"/>
    </row>
    <row r="643">
      <c r="B643" s="110"/>
    </row>
    <row r="644">
      <c r="B644" s="110"/>
    </row>
    <row r="645">
      <c r="B645" s="110"/>
    </row>
    <row r="646">
      <c r="B646" s="110"/>
    </row>
    <row r="647">
      <c r="B647" s="110"/>
    </row>
    <row r="648">
      <c r="B648" s="110"/>
    </row>
    <row r="649">
      <c r="B649" s="110"/>
    </row>
    <row r="650">
      <c r="B650" s="110"/>
    </row>
    <row r="651">
      <c r="B651" s="110"/>
    </row>
    <row r="652">
      <c r="B652" s="110"/>
    </row>
    <row r="653">
      <c r="B653" s="110"/>
    </row>
    <row r="654">
      <c r="B654" s="110"/>
    </row>
    <row r="655">
      <c r="B655" s="110"/>
    </row>
    <row r="656">
      <c r="B656" s="110"/>
    </row>
    <row r="657">
      <c r="B657" s="110"/>
    </row>
    <row r="658">
      <c r="B658" s="110"/>
    </row>
    <row r="659">
      <c r="B659" s="110"/>
    </row>
    <row r="660">
      <c r="B660" s="110"/>
    </row>
    <row r="661">
      <c r="B661" s="110"/>
    </row>
    <row r="662">
      <c r="B662" s="110"/>
    </row>
    <row r="663">
      <c r="B663" s="110"/>
    </row>
    <row r="664">
      <c r="B664" s="110"/>
    </row>
    <row r="665">
      <c r="B665" s="110"/>
    </row>
    <row r="666">
      <c r="B666" s="110"/>
    </row>
    <row r="667">
      <c r="B667" s="110"/>
    </row>
    <row r="668">
      <c r="B668" s="110"/>
    </row>
    <row r="669">
      <c r="B669" s="110"/>
    </row>
    <row r="670">
      <c r="B670" s="110"/>
    </row>
    <row r="671">
      <c r="B671" s="110"/>
    </row>
    <row r="672">
      <c r="B672" s="110"/>
    </row>
    <row r="673">
      <c r="B673" s="110"/>
    </row>
    <row r="674">
      <c r="B674" s="110"/>
    </row>
    <row r="675">
      <c r="B675" s="110"/>
    </row>
    <row r="676">
      <c r="B676" s="110"/>
    </row>
    <row r="677">
      <c r="B677" s="110"/>
    </row>
    <row r="678">
      <c r="B678" s="110"/>
    </row>
    <row r="679">
      <c r="B679" s="110"/>
    </row>
    <row r="680">
      <c r="B680" s="110"/>
    </row>
    <row r="681">
      <c r="B681" s="110"/>
    </row>
    <row r="682">
      <c r="B682" s="110"/>
    </row>
    <row r="683">
      <c r="B683" s="110"/>
    </row>
    <row r="684">
      <c r="B684" s="110"/>
    </row>
    <row r="685">
      <c r="B685" s="110"/>
    </row>
    <row r="686">
      <c r="B686" s="110"/>
    </row>
    <row r="687">
      <c r="B687" s="110"/>
    </row>
    <row r="688">
      <c r="B688" s="110"/>
    </row>
    <row r="689">
      <c r="B689" s="110"/>
    </row>
    <row r="690">
      <c r="B690" s="110"/>
    </row>
    <row r="691">
      <c r="B691" s="110"/>
    </row>
    <row r="692">
      <c r="B692" s="110"/>
    </row>
    <row r="693">
      <c r="B693" s="110"/>
    </row>
    <row r="694">
      <c r="B694" s="110"/>
    </row>
    <row r="695">
      <c r="B695" s="110"/>
    </row>
    <row r="696">
      <c r="B696" s="110"/>
    </row>
    <row r="697">
      <c r="B697" s="110"/>
    </row>
    <row r="698">
      <c r="B698" s="110"/>
    </row>
    <row r="699">
      <c r="B699" s="110"/>
    </row>
    <row r="700">
      <c r="B700" s="110"/>
    </row>
    <row r="701">
      <c r="B701" s="110"/>
    </row>
    <row r="702">
      <c r="B702" s="110"/>
    </row>
    <row r="703">
      <c r="B703" s="110"/>
    </row>
    <row r="704">
      <c r="B704" s="110"/>
    </row>
    <row r="705">
      <c r="B705" s="110"/>
    </row>
    <row r="706">
      <c r="B706" s="110"/>
    </row>
    <row r="707">
      <c r="B707" s="110"/>
    </row>
    <row r="708">
      <c r="B708" s="110"/>
    </row>
    <row r="709">
      <c r="B709" s="110"/>
    </row>
    <row r="710">
      <c r="B710" s="110"/>
    </row>
    <row r="711">
      <c r="B711" s="110"/>
    </row>
    <row r="712">
      <c r="B712" s="110"/>
    </row>
    <row r="713">
      <c r="B713" s="110"/>
    </row>
    <row r="714">
      <c r="B714" s="110"/>
    </row>
    <row r="715">
      <c r="B715" s="110"/>
    </row>
    <row r="716">
      <c r="B716" s="110"/>
    </row>
    <row r="717">
      <c r="B717" s="110"/>
    </row>
    <row r="718">
      <c r="B718" s="110"/>
    </row>
    <row r="719">
      <c r="B719" s="110"/>
    </row>
    <row r="720">
      <c r="B720" s="110"/>
    </row>
    <row r="721">
      <c r="B721" s="110"/>
    </row>
    <row r="722">
      <c r="B722" s="110"/>
    </row>
    <row r="723">
      <c r="B723" s="110"/>
    </row>
    <row r="724">
      <c r="B724" s="110"/>
    </row>
    <row r="725">
      <c r="B725" s="110"/>
    </row>
    <row r="726">
      <c r="B726" s="110"/>
    </row>
    <row r="727">
      <c r="B727" s="110"/>
    </row>
    <row r="728">
      <c r="B728" s="110"/>
    </row>
    <row r="729">
      <c r="B729" s="110"/>
    </row>
    <row r="730">
      <c r="B730" s="110"/>
    </row>
    <row r="731">
      <c r="B731" s="110"/>
    </row>
    <row r="732">
      <c r="B732" s="110"/>
    </row>
    <row r="733">
      <c r="B733" s="110"/>
    </row>
    <row r="734">
      <c r="B734" s="110"/>
    </row>
    <row r="735">
      <c r="B735" s="110"/>
    </row>
    <row r="736">
      <c r="B736" s="110"/>
    </row>
    <row r="737">
      <c r="B737" s="110"/>
    </row>
    <row r="738">
      <c r="B738" s="110"/>
    </row>
    <row r="739">
      <c r="B739" s="110"/>
    </row>
    <row r="740">
      <c r="B740" s="110"/>
    </row>
    <row r="741">
      <c r="B741" s="110"/>
    </row>
    <row r="742">
      <c r="B742" s="110"/>
    </row>
    <row r="743">
      <c r="B743" s="110"/>
    </row>
    <row r="744">
      <c r="B744" s="110"/>
    </row>
    <row r="745">
      <c r="B745" s="110"/>
    </row>
    <row r="746">
      <c r="B746" s="110"/>
    </row>
    <row r="747">
      <c r="B747" s="110"/>
    </row>
    <row r="748">
      <c r="B748" s="110"/>
    </row>
    <row r="749">
      <c r="B749" s="110"/>
    </row>
    <row r="750">
      <c r="B750" s="110"/>
    </row>
    <row r="751">
      <c r="B751" s="110"/>
    </row>
    <row r="752">
      <c r="B752" s="110"/>
    </row>
    <row r="753">
      <c r="B753" s="110"/>
    </row>
    <row r="754">
      <c r="B754" s="110"/>
    </row>
    <row r="755">
      <c r="B755" s="110"/>
    </row>
    <row r="756">
      <c r="B756" s="110"/>
    </row>
    <row r="757">
      <c r="B757" s="110"/>
    </row>
    <row r="758">
      <c r="B758" s="110"/>
    </row>
    <row r="759">
      <c r="B759" s="110"/>
    </row>
    <row r="760">
      <c r="B760" s="110"/>
    </row>
    <row r="761">
      <c r="B761" s="110"/>
    </row>
    <row r="762">
      <c r="B762" s="110"/>
    </row>
    <row r="763">
      <c r="B763" s="110"/>
    </row>
    <row r="764">
      <c r="B764" s="110"/>
    </row>
    <row r="765">
      <c r="B765" s="110"/>
    </row>
    <row r="766">
      <c r="B766" s="110"/>
    </row>
    <row r="767">
      <c r="B767" s="110"/>
    </row>
    <row r="768">
      <c r="B768" s="110"/>
    </row>
    <row r="769">
      <c r="B769" s="110"/>
    </row>
    <row r="770">
      <c r="B770" s="110"/>
    </row>
    <row r="771">
      <c r="B771" s="110"/>
    </row>
    <row r="772">
      <c r="B772" s="110"/>
    </row>
    <row r="773">
      <c r="B773" s="110"/>
    </row>
    <row r="774">
      <c r="B774" s="110"/>
    </row>
    <row r="775">
      <c r="B775" s="110"/>
    </row>
    <row r="776">
      <c r="B776" s="110"/>
    </row>
    <row r="777">
      <c r="B777" s="110"/>
    </row>
    <row r="778">
      <c r="B778" s="110"/>
    </row>
    <row r="779">
      <c r="B779" s="110"/>
    </row>
    <row r="780">
      <c r="B780" s="110"/>
    </row>
    <row r="781">
      <c r="B781" s="110"/>
    </row>
    <row r="782">
      <c r="B782" s="110"/>
    </row>
    <row r="783">
      <c r="B783" s="110"/>
    </row>
    <row r="784">
      <c r="B784" s="110"/>
    </row>
    <row r="785">
      <c r="B785" s="110"/>
    </row>
    <row r="786">
      <c r="B786" s="110"/>
    </row>
    <row r="787">
      <c r="B787" s="110"/>
    </row>
    <row r="788">
      <c r="B788" s="110"/>
    </row>
    <row r="789">
      <c r="B789" s="110"/>
    </row>
    <row r="790">
      <c r="B790" s="110"/>
    </row>
    <row r="791">
      <c r="B791" s="110"/>
    </row>
    <row r="792">
      <c r="B792" s="110"/>
    </row>
    <row r="793">
      <c r="B793" s="110"/>
    </row>
    <row r="794">
      <c r="B794" s="110"/>
    </row>
    <row r="795">
      <c r="B795" s="110"/>
    </row>
    <row r="796">
      <c r="B796" s="110"/>
    </row>
    <row r="797">
      <c r="B797" s="110"/>
    </row>
    <row r="798">
      <c r="B798" s="110"/>
    </row>
    <row r="799">
      <c r="B799" s="110"/>
    </row>
    <row r="800">
      <c r="B800" s="110"/>
    </row>
    <row r="801">
      <c r="B801" s="110"/>
    </row>
    <row r="802">
      <c r="B802" s="110"/>
    </row>
    <row r="803">
      <c r="B803" s="110"/>
    </row>
    <row r="804">
      <c r="B804" s="110"/>
    </row>
    <row r="805">
      <c r="B805" s="110"/>
    </row>
    <row r="806">
      <c r="B806" s="110"/>
    </row>
    <row r="807">
      <c r="B807" s="110"/>
    </row>
    <row r="808">
      <c r="B808" s="110"/>
    </row>
    <row r="809">
      <c r="B809" s="110"/>
    </row>
    <row r="810">
      <c r="B810" s="110"/>
    </row>
    <row r="811">
      <c r="B811" s="110"/>
    </row>
    <row r="812">
      <c r="B812" s="110"/>
    </row>
    <row r="813">
      <c r="B813" s="110"/>
    </row>
    <row r="814">
      <c r="B814" s="110"/>
    </row>
    <row r="815">
      <c r="B815" s="110"/>
    </row>
    <row r="816">
      <c r="B816" s="110"/>
    </row>
    <row r="817">
      <c r="B817" s="110"/>
    </row>
    <row r="818">
      <c r="B818" s="110"/>
    </row>
    <row r="819">
      <c r="B819" s="110"/>
    </row>
    <row r="820">
      <c r="B820" s="110"/>
    </row>
    <row r="821">
      <c r="B821" s="110"/>
    </row>
    <row r="822">
      <c r="B822" s="110"/>
    </row>
    <row r="823">
      <c r="B823" s="110"/>
    </row>
    <row r="824">
      <c r="B824" s="110"/>
    </row>
    <row r="825">
      <c r="B825" s="110"/>
    </row>
    <row r="826">
      <c r="B826" s="110"/>
    </row>
    <row r="827">
      <c r="B827" s="110"/>
    </row>
    <row r="828">
      <c r="B828" s="110"/>
    </row>
    <row r="829">
      <c r="B829" s="110"/>
    </row>
    <row r="830">
      <c r="B830" s="110"/>
    </row>
    <row r="831">
      <c r="B831" s="110"/>
    </row>
    <row r="832">
      <c r="B832" s="110"/>
    </row>
    <row r="833">
      <c r="B833" s="110"/>
    </row>
    <row r="834">
      <c r="B834" s="110"/>
    </row>
    <row r="835">
      <c r="B835" s="110"/>
    </row>
    <row r="836">
      <c r="B836" s="110"/>
    </row>
    <row r="837">
      <c r="B837" s="110"/>
    </row>
    <row r="838">
      <c r="B838" s="110"/>
    </row>
    <row r="839">
      <c r="B839" s="110"/>
    </row>
    <row r="840">
      <c r="B840" s="110"/>
    </row>
    <row r="841">
      <c r="B841" s="110"/>
    </row>
    <row r="842">
      <c r="B842" s="110"/>
    </row>
    <row r="843">
      <c r="B843" s="110"/>
    </row>
    <row r="844">
      <c r="B844" s="110"/>
    </row>
    <row r="845">
      <c r="B845" s="110"/>
    </row>
    <row r="846">
      <c r="B846" s="110"/>
    </row>
    <row r="847">
      <c r="B847" s="110"/>
    </row>
    <row r="848">
      <c r="B848" s="110"/>
    </row>
    <row r="849">
      <c r="B849" s="110"/>
    </row>
    <row r="850">
      <c r="B850" s="110"/>
    </row>
    <row r="851">
      <c r="B851" s="110"/>
    </row>
    <row r="852">
      <c r="B852" s="110"/>
    </row>
    <row r="853">
      <c r="B853" s="110"/>
    </row>
    <row r="854">
      <c r="B854" s="110"/>
    </row>
    <row r="855">
      <c r="B855" s="110"/>
    </row>
    <row r="856">
      <c r="B856" s="110"/>
    </row>
    <row r="857">
      <c r="B857" s="110"/>
    </row>
    <row r="858">
      <c r="B858" s="110"/>
    </row>
    <row r="859">
      <c r="B859" s="110"/>
    </row>
    <row r="860">
      <c r="B860" s="110"/>
    </row>
    <row r="861">
      <c r="B861" s="110"/>
    </row>
    <row r="862">
      <c r="B862" s="110"/>
    </row>
    <row r="863">
      <c r="B863" s="110"/>
    </row>
    <row r="864">
      <c r="B864" s="110"/>
    </row>
    <row r="865">
      <c r="B865" s="110"/>
    </row>
    <row r="866">
      <c r="B866" s="110"/>
    </row>
    <row r="867">
      <c r="B867" s="110"/>
    </row>
    <row r="868">
      <c r="B868" s="110"/>
    </row>
    <row r="869">
      <c r="B869" s="110"/>
    </row>
    <row r="870">
      <c r="B870" s="110"/>
    </row>
    <row r="871">
      <c r="B871" s="110"/>
    </row>
    <row r="872">
      <c r="B872" s="110"/>
    </row>
    <row r="873">
      <c r="B873" s="110"/>
    </row>
    <row r="874">
      <c r="B874" s="110"/>
    </row>
    <row r="875">
      <c r="B875" s="110"/>
    </row>
    <row r="876">
      <c r="B876" s="110"/>
    </row>
    <row r="877">
      <c r="B877" s="110"/>
    </row>
    <row r="878">
      <c r="B878" s="110"/>
    </row>
    <row r="879">
      <c r="B879" s="110"/>
    </row>
    <row r="880">
      <c r="B880" s="110"/>
    </row>
    <row r="881">
      <c r="B881" s="110"/>
    </row>
    <row r="882">
      <c r="B882" s="110"/>
    </row>
    <row r="883">
      <c r="B883" s="110"/>
    </row>
    <row r="884">
      <c r="B884" s="110"/>
    </row>
    <row r="885">
      <c r="B885" s="110"/>
    </row>
    <row r="886">
      <c r="B886" s="110"/>
    </row>
    <row r="887">
      <c r="B887" s="110"/>
    </row>
    <row r="888">
      <c r="B888" s="110"/>
    </row>
    <row r="889">
      <c r="B889" s="110"/>
    </row>
    <row r="890">
      <c r="B890" s="110"/>
    </row>
    <row r="891">
      <c r="B891" s="110"/>
    </row>
    <row r="892">
      <c r="B892" s="110"/>
    </row>
    <row r="893">
      <c r="B893" s="110"/>
    </row>
    <row r="894">
      <c r="B894" s="110"/>
    </row>
    <row r="895">
      <c r="B895" s="110"/>
    </row>
    <row r="896">
      <c r="B896" s="110"/>
    </row>
    <row r="897">
      <c r="B897" s="110"/>
    </row>
    <row r="898">
      <c r="B898" s="110"/>
    </row>
    <row r="899">
      <c r="B899" s="110"/>
    </row>
    <row r="900">
      <c r="B900" s="110"/>
    </row>
    <row r="901">
      <c r="B901" s="110"/>
    </row>
    <row r="902">
      <c r="B902" s="110"/>
    </row>
    <row r="903">
      <c r="B903" s="110"/>
    </row>
    <row r="904">
      <c r="B904" s="110"/>
    </row>
    <row r="905">
      <c r="B905" s="110"/>
    </row>
    <row r="906">
      <c r="B906" s="110"/>
    </row>
    <row r="907">
      <c r="B907" s="110"/>
    </row>
    <row r="908">
      <c r="B908" s="110"/>
    </row>
    <row r="909">
      <c r="B909" s="110"/>
    </row>
    <row r="910">
      <c r="B910" s="110"/>
    </row>
    <row r="911">
      <c r="B911" s="110"/>
    </row>
    <row r="912">
      <c r="B912" s="110"/>
    </row>
    <row r="913">
      <c r="B913" s="110"/>
    </row>
    <row r="914">
      <c r="B914" s="110"/>
    </row>
    <row r="915">
      <c r="B915" s="110"/>
    </row>
    <row r="916">
      <c r="B916" s="110"/>
    </row>
    <row r="917">
      <c r="B917" s="110"/>
    </row>
    <row r="918">
      <c r="B918" s="110"/>
    </row>
    <row r="919">
      <c r="B919" s="110"/>
    </row>
    <row r="920">
      <c r="B920" s="110"/>
    </row>
    <row r="921">
      <c r="B921" s="110"/>
    </row>
    <row r="922">
      <c r="B922" s="110"/>
    </row>
    <row r="923">
      <c r="B923" s="110"/>
    </row>
    <row r="924">
      <c r="B924" s="110"/>
    </row>
    <row r="925">
      <c r="B925" s="110"/>
    </row>
    <row r="926">
      <c r="B926" s="110"/>
    </row>
    <row r="927">
      <c r="B927" s="110"/>
    </row>
    <row r="928">
      <c r="B928" s="110"/>
    </row>
    <row r="929">
      <c r="B929" s="110"/>
    </row>
    <row r="930">
      <c r="B930" s="110"/>
    </row>
    <row r="931">
      <c r="B931" s="110"/>
    </row>
    <row r="932">
      <c r="B932" s="110"/>
    </row>
    <row r="933">
      <c r="B933" s="110"/>
    </row>
    <row r="934">
      <c r="B934" s="110"/>
    </row>
    <row r="935">
      <c r="B935" s="110"/>
    </row>
    <row r="936">
      <c r="B936" s="110"/>
    </row>
    <row r="937">
      <c r="B937" s="110"/>
    </row>
    <row r="938">
      <c r="B938" s="110"/>
    </row>
    <row r="939">
      <c r="B939" s="110"/>
    </row>
    <row r="940">
      <c r="B940" s="110"/>
    </row>
    <row r="941">
      <c r="B941" s="110"/>
    </row>
    <row r="942">
      <c r="B942" s="110"/>
    </row>
    <row r="943">
      <c r="B943" s="110"/>
    </row>
    <row r="944">
      <c r="B944" s="110"/>
    </row>
    <row r="945">
      <c r="B945" s="110"/>
    </row>
    <row r="946">
      <c r="B946" s="110"/>
    </row>
    <row r="947">
      <c r="B947" s="110"/>
    </row>
    <row r="948">
      <c r="B948" s="110"/>
    </row>
    <row r="949">
      <c r="B949" s="110"/>
    </row>
    <row r="950">
      <c r="B950" s="110"/>
    </row>
    <row r="951">
      <c r="B951" s="110"/>
    </row>
    <row r="952">
      <c r="B952" s="110"/>
    </row>
    <row r="953">
      <c r="B953" s="110"/>
    </row>
    <row r="954">
      <c r="B954" s="110"/>
    </row>
    <row r="955">
      <c r="B955" s="110"/>
    </row>
    <row r="956">
      <c r="B956" s="110"/>
    </row>
    <row r="957">
      <c r="B957" s="110"/>
    </row>
    <row r="958">
      <c r="B958" s="110"/>
    </row>
    <row r="959">
      <c r="B959" s="110"/>
    </row>
    <row r="960">
      <c r="B960" s="110"/>
    </row>
    <row r="961">
      <c r="B961" s="110"/>
    </row>
    <row r="962">
      <c r="B962" s="110"/>
    </row>
    <row r="963">
      <c r="B963" s="110"/>
    </row>
    <row r="964">
      <c r="B964" s="110"/>
    </row>
    <row r="965">
      <c r="B965" s="110"/>
    </row>
    <row r="966">
      <c r="B966" s="110"/>
    </row>
    <row r="967">
      <c r="B967" s="110"/>
    </row>
    <row r="968">
      <c r="B968" s="110"/>
    </row>
    <row r="969">
      <c r="B969" s="110"/>
    </row>
    <row r="970">
      <c r="B970" s="110"/>
    </row>
    <row r="971">
      <c r="B971" s="110"/>
    </row>
    <row r="972">
      <c r="B972" s="110"/>
    </row>
    <row r="973">
      <c r="B973" s="110"/>
    </row>
    <row r="974">
      <c r="B974" s="110"/>
    </row>
    <row r="975">
      <c r="B975" s="110"/>
    </row>
    <row r="976">
      <c r="B976" s="110"/>
    </row>
    <row r="977">
      <c r="B977" s="110"/>
    </row>
    <row r="978">
      <c r="B978" s="110"/>
    </row>
    <row r="979">
      <c r="B979" s="110"/>
    </row>
    <row r="980">
      <c r="B980" s="110"/>
    </row>
    <row r="981">
      <c r="B981" s="110"/>
    </row>
    <row r="982">
      <c r="B982" s="110"/>
    </row>
    <row r="983">
      <c r="B983" s="110"/>
    </row>
    <row r="984">
      <c r="B984" s="110"/>
    </row>
    <row r="985">
      <c r="B985" s="110"/>
    </row>
    <row r="986">
      <c r="B986" s="110"/>
    </row>
    <row r="987">
      <c r="B987" s="110"/>
    </row>
    <row r="988">
      <c r="B988" s="110"/>
    </row>
    <row r="989">
      <c r="B989" s="110"/>
    </row>
    <row r="990">
      <c r="B990" s="110"/>
    </row>
    <row r="991">
      <c r="B991" s="110"/>
    </row>
    <row r="992">
      <c r="B992" s="110"/>
    </row>
    <row r="993">
      <c r="B993" s="110"/>
    </row>
    <row r="994">
      <c r="B994" s="110"/>
    </row>
    <row r="995">
      <c r="B995" s="110"/>
    </row>
    <row r="996">
      <c r="B996" s="110"/>
    </row>
    <row r="997">
      <c r="B997" s="110"/>
    </row>
    <row r="998">
      <c r="B998" s="110"/>
    </row>
    <row r="999">
      <c r="B999" s="110"/>
    </row>
    <row r="1000">
      <c r="B1000" s="1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354</v>
      </c>
    </row>
    <row r="2">
      <c r="A2" s="38" t="s">
        <v>46</v>
      </c>
    </row>
    <row r="3">
      <c r="A3" s="38" t="s">
        <v>56</v>
      </c>
    </row>
    <row r="4">
      <c r="A4" s="38" t="s">
        <v>51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413</v>
      </c>
      <c r="B1" s="108" t="s">
        <v>98</v>
      </c>
    </row>
    <row r="2">
      <c r="A2" s="38" t="s">
        <v>182</v>
      </c>
      <c r="B2" s="108">
        <v>45.0</v>
      </c>
    </row>
    <row r="3">
      <c r="A3" s="38" t="s">
        <v>193</v>
      </c>
      <c r="B3" s="108">
        <v>45.0</v>
      </c>
    </row>
    <row r="4">
      <c r="A4" s="38" t="s">
        <v>172</v>
      </c>
      <c r="B4" s="108">
        <v>90.0</v>
      </c>
    </row>
    <row r="5">
      <c r="A5" s="38" t="s">
        <v>237</v>
      </c>
      <c r="B5" s="108">
        <v>45.0</v>
      </c>
    </row>
    <row r="6">
      <c r="A6" s="38" t="s">
        <v>242</v>
      </c>
      <c r="B6" s="108">
        <v>45.0</v>
      </c>
    </row>
    <row r="7">
      <c r="A7" s="38" t="s">
        <v>414</v>
      </c>
      <c r="B7" s="108">
        <v>90.0</v>
      </c>
    </row>
    <row r="8">
      <c r="A8" s="38" t="s">
        <v>211</v>
      </c>
      <c r="B8" s="108">
        <v>45.0</v>
      </c>
    </row>
    <row r="9">
      <c r="A9" s="38" t="s">
        <v>240</v>
      </c>
      <c r="B9" s="108">
        <v>45.0</v>
      </c>
    </row>
    <row r="10">
      <c r="A10" s="38" t="s">
        <v>194</v>
      </c>
      <c r="B10" s="108">
        <v>90.0</v>
      </c>
    </row>
    <row r="11">
      <c r="A11" s="38" t="s">
        <v>179</v>
      </c>
      <c r="B11" s="108">
        <v>50.0</v>
      </c>
    </row>
    <row r="12">
      <c r="A12" s="38" t="s">
        <v>231</v>
      </c>
      <c r="B12" s="108">
        <v>50.0</v>
      </c>
    </row>
    <row r="13">
      <c r="A13" s="38" t="s">
        <v>216</v>
      </c>
      <c r="B13" s="108">
        <v>100.0</v>
      </c>
    </row>
    <row r="14">
      <c r="A14" s="38" t="s">
        <v>227</v>
      </c>
      <c r="B14" s="108">
        <v>50.0</v>
      </c>
    </row>
    <row r="15">
      <c r="A15" s="38" t="s">
        <v>239</v>
      </c>
      <c r="B15" s="108">
        <v>50.0</v>
      </c>
    </row>
    <row r="16">
      <c r="A16" s="38" t="s">
        <v>415</v>
      </c>
      <c r="B16" s="108">
        <v>100.0</v>
      </c>
    </row>
    <row r="17">
      <c r="A17" s="38" t="s">
        <v>183</v>
      </c>
      <c r="B17" s="108">
        <v>50.0</v>
      </c>
    </row>
    <row r="18">
      <c r="A18" s="38" t="s">
        <v>192</v>
      </c>
      <c r="B18" s="108">
        <v>50.0</v>
      </c>
    </row>
    <row r="19">
      <c r="A19" s="38" t="s">
        <v>171</v>
      </c>
      <c r="B19" s="108">
        <v>100.0</v>
      </c>
    </row>
    <row r="20">
      <c r="A20" s="38" t="s">
        <v>212</v>
      </c>
      <c r="B20" s="108">
        <v>50.0</v>
      </c>
    </row>
    <row r="21">
      <c r="A21" s="38" t="s">
        <v>361</v>
      </c>
      <c r="B21" s="108">
        <v>50.0</v>
      </c>
    </row>
    <row r="22">
      <c r="A22" s="38" t="s">
        <v>214</v>
      </c>
      <c r="B22" s="108">
        <v>100.0</v>
      </c>
    </row>
    <row r="23">
      <c r="A23" s="38" t="s">
        <v>180</v>
      </c>
      <c r="B23" s="108">
        <v>50.0</v>
      </c>
    </row>
    <row r="24">
      <c r="A24" s="38" t="s">
        <v>249</v>
      </c>
      <c r="B24" s="108">
        <v>50.0</v>
      </c>
    </row>
    <row r="25">
      <c r="A25" s="38" t="s">
        <v>362</v>
      </c>
      <c r="B25" s="108">
        <v>100.0</v>
      </c>
    </row>
    <row r="26">
      <c r="A26" s="38" t="s">
        <v>178</v>
      </c>
      <c r="B26" s="108">
        <v>60.0</v>
      </c>
    </row>
    <row r="27">
      <c r="A27" s="38" t="s">
        <v>241</v>
      </c>
      <c r="B27" s="108">
        <v>60.0</v>
      </c>
    </row>
    <row r="28">
      <c r="A28" s="38" t="s">
        <v>236</v>
      </c>
      <c r="B28" s="108">
        <v>120.0</v>
      </c>
    </row>
    <row r="29">
      <c r="A29" s="38" t="s">
        <v>181</v>
      </c>
      <c r="B29" s="108">
        <v>75.0</v>
      </c>
    </row>
    <row r="30">
      <c r="A30" s="38" t="s">
        <v>168</v>
      </c>
      <c r="B30" s="108">
        <v>75.0</v>
      </c>
    </row>
    <row r="31">
      <c r="B31" s="46"/>
    </row>
    <row r="32">
      <c r="B32" s="46"/>
    </row>
    <row r="33">
      <c r="B33" s="46"/>
    </row>
    <row r="34">
      <c r="B34" s="46"/>
    </row>
    <row r="35">
      <c r="B35" s="46"/>
    </row>
    <row r="36">
      <c r="B36" s="46"/>
    </row>
    <row r="37">
      <c r="B37" s="46"/>
    </row>
    <row r="38">
      <c r="B38" s="46"/>
    </row>
    <row r="39">
      <c r="B39" s="46"/>
    </row>
    <row r="40">
      <c r="B40" s="46"/>
    </row>
    <row r="41">
      <c r="B41" s="46"/>
    </row>
    <row r="42">
      <c r="B42" s="46"/>
    </row>
    <row r="43">
      <c r="B43" s="46"/>
    </row>
    <row r="44">
      <c r="B44" s="46"/>
    </row>
    <row r="45">
      <c r="B45" s="46"/>
    </row>
    <row r="46">
      <c r="B46" s="46"/>
    </row>
    <row r="47">
      <c r="B47" s="46"/>
    </row>
    <row r="48">
      <c r="B48" s="46"/>
    </row>
    <row r="49">
      <c r="B49" s="46"/>
    </row>
    <row r="50">
      <c r="B50" s="46"/>
    </row>
    <row r="51">
      <c r="B51" s="46"/>
    </row>
    <row r="52">
      <c r="B52" s="46"/>
    </row>
    <row r="53">
      <c r="B53" s="46"/>
    </row>
    <row r="54">
      <c r="B54" s="46"/>
    </row>
    <row r="55">
      <c r="B55" s="46"/>
    </row>
    <row r="56">
      <c r="B56" s="46"/>
    </row>
    <row r="57">
      <c r="B57" s="46"/>
    </row>
    <row r="58">
      <c r="B58" s="46"/>
    </row>
    <row r="59">
      <c r="B59" s="46"/>
    </row>
    <row r="60">
      <c r="B60" s="46"/>
    </row>
    <row r="61">
      <c r="B61" s="46"/>
    </row>
    <row r="62">
      <c r="B62" s="46"/>
    </row>
    <row r="63">
      <c r="B63" s="46"/>
    </row>
    <row r="64">
      <c r="B64" s="46"/>
    </row>
    <row r="65">
      <c r="B65" s="46"/>
    </row>
    <row r="66">
      <c r="B66" s="46"/>
    </row>
    <row r="67">
      <c r="B67" s="46"/>
    </row>
    <row r="68">
      <c r="B68" s="46"/>
    </row>
    <row r="69">
      <c r="B69" s="46"/>
    </row>
    <row r="70">
      <c r="B70" s="46"/>
    </row>
    <row r="71">
      <c r="B71" s="46"/>
    </row>
    <row r="72">
      <c r="B72" s="46"/>
    </row>
    <row r="73">
      <c r="B73" s="46"/>
    </row>
    <row r="74">
      <c r="B74" s="46"/>
    </row>
    <row r="75">
      <c r="B75" s="46"/>
    </row>
    <row r="76">
      <c r="B76" s="46"/>
    </row>
    <row r="77">
      <c r="B77" s="46"/>
    </row>
    <row r="78">
      <c r="B78" s="46"/>
    </row>
    <row r="79">
      <c r="B79" s="46"/>
    </row>
    <row r="80">
      <c r="B80" s="46"/>
    </row>
    <row r="81">
      <c r="B81" s="46"/>
    </row>
    <row r="82">
      <c r="B82" s="46"/>
    </row>
    <row r="83">
      <c r="B83" s="46"/>
    </row>
    <row r="84">
      <c r="B84" s="46"/>
    </row>
    <row r="85">
      <c r="B85" s="46"/>
    </row>
    <row r="86">
      <c r="B86" s="46"/>
    </row>
    <row r="87">
      <c r="B87" s="46"/>
    </row>
    <row r="88">
      <c r="B88" s="46"/>
    </row>
    <row r="89">
      <c r="B89" s="46"/>
    </row>
    <row r="90">
      <c r="B90" s="46"/>
    </row>
    <row r="91">
      <c r="B91" s="46"/>
    </row>
    <row r="92">
      <c r="B92" s="46"/>
    </row>
    <row r="93">
      <c r="B93" s="46"/>
    </row>
    <row r="94">
      <c r="B94" s="46"/>
    </row>
    <row r="95">
      <c r="B95" s="46"/>
    </row>
    <row r="96">
      <c r="B96" s="46"/>
    </row>
    <row r="97">
      <c r="B97" s="46"/>
    </row>
    <row r="98">
      <c r="B98" s="46"/>
    </row>
    <row r="99">
      <c r="B99" s="46"/>
    </row>
    <row r="100">
      <c r="B100" s="46"/>
    </row>
    <row r="101">
      <c r="B101" s="46"/>
    </row>
    <row r="102">
      <c r="B102" s="46"/>
    </row>
    <row r="103">
      <c r="B103" s="46"/>
    </row>
    <row r="104">
      <c r="B104" s="46"/>
    </row>
    <row r="105">
      <c r="B105" s="46"/>
    </row>
    <row r="106">
      <c r="B106" s="46"/>
    </row>
    <row r="107">
      <c r="B107" s="46"/>
    </row>
    <row r="108">
      <c r="B108" s="46"/>
    </row>
    <row r="109">
      <c r="B109" s="46"/>
    </row>
    <row r="110">
      <c r="B110" s="46"/>
    </row>
    <row r="111">
      <c r="B111" s="46"/>
    </row>
    <row r="112">
      <c r="B112" s="46"/>
    </row>
    <row r="113">
      <c r="B113" s="46"/>
    </row>
    <row r="114">
      <c r="B114" s="46"/>
    </row>
    <row r="115">
      <c r="B115" s="46"/>
    </row>
    <row r="116">
      <c r="B116" s="46"/>
    </row>
    <row r="117">
      <c r="B117" s="46"/>
    </row>
    <row r="118">
      <c r="B118" s="46"/>
    </row>
    <row r="119">
      <c r="B119" s="46"/>
    </row>
    <row r="120">
      <c r="B120" s="46"/>
    </row>
    <row r="121">
      <c r="B121" s="46"/>
    </row>
    <row r="122">
      <c r="B122" s="46"/>
    </row>
    <row r="123">
      <c r="B123" s="46"/>
    </row>
    <row r="124">
      <c r="B124" s="46"/>
    </row>
    <row r="125">
      <c r="B125" s="46"/>
    </row>
    <row r="126">
      <c r="B126" s="46"/>
    </row>
    <row r="127">
      <c r="B127" s="46"/>
    </row>
    <row r="128">
      <c r="B128" s="46"/>
    </row>
    <row r="129">
      <c r="B129" s="46"/>
    </row>
    <row r="130">
      <c r="B130" s="46"/>
    </row>
    <row r="131">
      <c r="B131" s="46"/>
    </row>
    <row r="132">
      <c r="B132" s="46"/>
    </row>
    <row r="133">
      <c r="B133" s="46"/>
    </row>
    <row r="134">
      <c r="B134" s="46"/>
    </row>
    <row r="135">
      <c r="B135" s="46"/>
    </row>
    <row r="136">
      <c r="B136" s="46"/>
    </row>
    <row r="137">
      <c r="B137" s="46"/>
    </row>
    <row r="138">
      <c r="B138" s="46"/>
    </row>
    <row r="139">
      <c r="B139" s="46"/>
    </row>
    <row r="140">
      <c r="B140" s="46"/>
    </row>
    <row r="141">
      <c r="B141" s="46"/>
    </row>
    <row r="142">
      <c r="B142" s="46"/>
    </row>
    <row r="143">
      <c r="B143" s="46"/>
    </row>
    <row r="144">
      <c r="B144" s="46"/>
    </row>
    <row r="145">
      <c r="B145" s="46"/>
    </row>
    <row r="146">
      <c r="B146" s="46"/>
    </row>
    <row r="147">
      <c r="B147" s="46"/>
    </row>
    <row r="148">
      <c r="B148" s="46"/>
    </row>
    <row r="149">
      <c r="B149" s="46"/>
    </row>
    <row r="150">
      <c r="B150" s="46"/>
    </row>
    <row r="151">
      <c r="B151" s="46"/>
    </row>
    <row r="152">
      <c r="B152" s="46"/>
    </row>
    <row r="153">
      <c r="B153" s="46"/>
    </row>
    <row r="154">
      <c r="B154" s="46"/>
    </row>
    <row r="155">
      <c r="B155" s="46"/>
    </row>
    <row r="156">
      <c r="B156" s="46"/>
    </row>
    <row r="157">
      <c r="B157" s="46"/>
    </row>
    <row r="158">
      <c r="B158" s="46"/>
    </row>
    <row r="159">
      <c r="B159" s="46"/>
    </row>
    <row r="160">
      <c r="B160" s="46"/>
    </row>
    <row r="161">
      <c r="B161" s="46"/>
    </row>
    <row r="162">
      <c r="B162" s="46"/>
    </row>
    <row r="163">
      <c r="B163" s="46"/>
    </row>
    <row r="164">
      <c r="B164" s="46"/>
    </row>
    <row r="165">
      <c r="B165" s="46"/>
    </row>
    <row r="166">
      <c r="B166" s="46"/>
    </row>
    <row r="167">
      <c r="B167" s="46"/>
    </row>
    <row r="168">
      <c r="B168" s="46"/>
    </row>
    <row r="169">
      <c r="B169" s="46"/>
    </row>
    <row r="170">
      <c r="B170" s="46"/>
    </row>
    <row r="171">
      <c r="B171" s="46"/>
    </row>
    <row r="172">
      <c r="B172" s="46"/>
    </row>
    <row r="173">
      <c r="B173" s="46"/>
    </row>
    <row r="174">
      <c r="B174" s="46"/>
    </row>
    <row r="175">
      <c r="B175" s="46"/>
    </row>
    <row r="176">
      <c r="B176" s="46"/>
    </row>
    <row r="177">
      <c r="B177" s="46"/>
    </row>
    <row r="178">
      <c r="B178" s="46"/>
    </row>
    <row r="179">
      <c r="B179" s="46"/>
    </row>
    <row r="180">
      <c r="B180" s="46"/>
    </row>
    <row r="181">
      <c r="B181" s="46"/>
    </row>
    <row r="182">
      <c r="B182" s="46"/>
    </row>
    <row r="183">
      <c r="B183" s="46"/>
    </row>
    <row r="184">
      <c r="B184" s="46"/>
    </row>
    <row r="185">
      <c r="B185" s="46"/>
    </row>
    <row r="186">
      <c r="B186" s="46"/>
    </row>
    <row r="187">
      <c r="B187" s="46"/>
    </row>
    <row r="188">
      <c r="B188" s="46"/>
    </row>
    <row r="189">
      <c r="B189" s="46"/>
    </row>
    <row r="190">
      <c r="B190" s="46"/>
    </row>
    <row r="191">
      <c r="B191" s="46"/>
    </row>
    <row r="192">
      <c r="B192" s="46"/>
    </row>
    <row r="193">
      <c r="B193" s="46"/>
    </row>
    <row r="194">
      <c r="B194" s="46"/>
    </row>
    <row r="195">
      <c r="B195" s="46"/>
    </row>
    <row r="196">
      <c r="B196" s="46"/>
    </row>
    <row r="197">
      <c r="B197" s="46"/>
    </row>
    <row r="198">
      <c r="B198" s="46"/>
    </row>
    <row r="199">
      <c r="B199" s="46"/>
    </row>
    <row r="200">
      <c r="B200" s="46"/>
    </row>
    <row r="201">
      <c r="B201" s="46"/>
    </row>
    <row r="202">
      <c r="B202" s="46"/>
    </row>
    <row r="203">
      <c r="B203" s="46"/>
    </row>
    <row r="204">
      <c r="B204" s="46"/>
    </row>
    <row r="205">
      <c r="B205" s="46"/>
    </row>
    <row r="206">
      <c r="B206" s="46"/>
    </row>
    <row r="207">
      <c r="B207" s="46"/>
    </row>
    <row r="208">
      <c r="B208" s="46"/>
    </row>
    <row r="209">
      <c r="B209" s="46"/>
    </row>
    <row r="210">
      <c r="B210" s="46"/>
    </row>
    <row r="211">
      <c r="B211" s="46"/>
    </row>
    <row r="212">
      <c r="B212" s="46"/>
    </row>
    <row r="213">
      <c r="B213" s="46"/>
    </row>
    <row r="214">
      <c r="B214" s="46"/>
    </row>
    <row r="215">
      <c r="B215" s="46"/>
    </row>
    <row r="216">
      <c r="B216" s="46"/>
    </row>
    <row r="217">
      <c r="B217" s="46"/>
    </row>
    <row r="218">
      <c r="B218" s="46"/>
    </row>
    <row r="219">
      <c r="B219" s="46"/>
    </row>
    <row r="220">
      <c r="B220" s="46"/>
    </row>
    <row r="221">
      <c r="B221" s="46"/>
    </row>
    <row r="222">
      <c r="B222" s="46"/>
    </row>
    <row r="223">
      <c r="B223" s="46"/>
    </row>
    <row r="224">
      <c r="B224" s="46"/>
    </row>
    <row r="225">
      <c r="B225" s="46"/>
    </row>
    <row r="226">
      <c r="B226" s="46"/>
    </row>
    <row r="227">
      <c r="B227" s="46"/>
    </row>
    <row r="228">
      <c r="B228" s="46"/>
    </row>
    <row r="229">
      <c r="B229" s="46"/>
    </row>
    <row r="230">
      <c r="B230" s="46"/>
    </row>
    <row r="231">
      <c r="B231" s="46"/>
    </row>
    <row r="232">
      <c r="B232" s="46"/>
    </row>
    <row r="233">
      <c r="B233" s="46"/>
    </row>
    <row r="234">
      <c r="B234" s="46"/>
    </row>
    <row r="235">
      <c r="B235" s="46"/>
    </row>
    <row r="236">
      <c r="B236" s="46"/>
    </row>
    <row r="237">
      <c r="B237" s="46"/>
    </row>
    <row r="238">
      <c r="B238" s="46"/>
    </row>
    <row r="239">
      <c r="B239" s="46"/>
    </row>
    <row r="240">
      <c r="B240" s="46"/>
    </row>
    <row r="241">
      <c r="B241" s="46"/>
    </row>
    <row r="242">
      <c r="B242" s="46"/>
    </row>
    <row r="243">
      <c r="B243" s="46"/>
    </row>
    <row r="244">
      <c r="B244" s="46"/>
    </row>
    <row r="245">
      <c r="B245" s="46"/>
    </row>
    <row r="246">
      <c r="B246" s="46"/>
    </row>
    <row r="247">
      <c r="B247" s="46"/>
    </row>
    <row r="248">
      <c r="B248" s="46"/>
    </row>
    <row r="249">
      <c r="B249" s="46"/>
    </row>
    <row r="250">
      <c r="B250" s="46"/>
    </row>
    <row r="251">
      <c r="B251" s="46"/>
    </row>
    <row r="252">
      <c r="B252" s="46"/>
    </row>
    <row r="253">
      <c r="B253" s="46"/>
    </row>
    <row r="254">
      <c r="B254" s="46"/>
    </row>
    <row r="255">
      <c r="B255" s="46"/>
    </row>
    <row r="256">
      <c r="B256" s="46"/>
    </row>
    <row r="257">
      <c r="B257" s="46"/>
    </row>
    <row r="258">
      <c r="B258" s="46"/>
    </row>
    <row r="259">
      <c r="B259" s="46"/>
    </row>
    <row r="260">
      <c r="B260" s="46"/>
    </row>
    <row r="261">
      <c r="B261" s="46"/>
    </row>
    <row r="262">
      <c r="B262" s="46"/>
    </row>
    <row r="263">
      <c r="B263" s="46"/>
    </row>
    <row r="264">
      <c r="B264" s="46"/>
    </row>
    <row r="265">
      <c r="B265" s="46"/>
    </row>
    <row r="266">
      <c r="B266" s="46"/>
    </row>
    <row r="267">
      <c r="B267" s="46"/>
    </row>
    <row r="268">
      <c r="B268" s="46"/>
    </row>
    <row r="269">
      <c r="B269" s="46"/>
    </row>
    <row r="270">
      <c r="B270" s="46"/>
    </row>
    <row r="271">
      <c r="B271" s="46"/>
    </row>
    <row r="272">
      <c r="B272" s="46"/>
    </row>
    <row r="273">
      <c r="B273" s="46"/>
    </row>
    <row r="274">
      <c r="B274" s="46"/>
    </row>
    <row r="275">
      <c r="B275" s="46"/>
    </row>
    <row r="276">
      <c r="B276" s="46"/>
    </row>
    <row r="277">
      <c r="B277" s="46"/>
    </row>
    <row r="278">
      <c r="B278" s="46"/>
    </row>
    <row r="279">
      <c r="B279" s="46"/>
    </row>
    <row r="280">
      <c r="B280" s="46"/>
    </row>
    <row r="281">
      <c r="B281" s="46"/>
    </row>
    <row r="282">
      <c r="B282" s="46"/>
    </row>
    <row r="283">
      <c r="B283" s="46"/>
    </row>
    <row r="284">
      <c r="B284" s="46"/>
    </row>
    <row r="285">
      <c r="B285" s="46"/>
    </row>
    <row r="286">
      <c r="B286" s="46"/>
    </row>
    <row r="287">
      <c r="B287" s="46"/>
    </row>
    <row r="288">
      <c r="B288" s="46"/>
    </row>
    <row r="289">
      <c r="B289" s="46"/>
    </row>
    <row r="290">
      <c r="B290" s="46"/>
    </row>
    <row r="291">
      <c r="B291" s="46"/>
    </row>
    <row r="292">
      <c r="B292" s="46"/>
    </row>
    <row r="293">
      <c r="B293" s="46"/>
    </row>
    <row r="294">
      <c r="B294" s="46"/>
    </row>
    <row r="295">
      <c r="B295" s="46"/>
    </row>
    <row r="296">
      <c r="B296" s="46"/>
    </row>
    <row r="297">
      <c r="B297" s="46"/>
    </row>
    <row r="298">
      <c r="B298" s="46"/>
    </row>
    <row r="299">
      <c r="B299" s="46"/>
    </row>
    <row r="300">
      <c r="B300" s="46"/>
    </row>
    <row r="301">
      <c r="B301" s="46"/>
    </row>
    <row r="302">
      <c r="B302" s="46"/>
    </row>
    <row r="303">
      <c r="B303" s="46"/>
    </row>
    <row r="304">
      <c r="B304" s="46"/>
    </row>
    <row r="305">
      <c r="B305" s="46"/>
    </row>
    <row r="306">
      <c r="B306" s="46"/>
    </row>
    <row r="307">
      <c r="B307" s="46"/>
    </row>
    <row r="308">
      <c r="B308" s="46"/>
    </row>
    <row r="309">
      <c r="B309" s="46"/>
    </row>
    <row r="310">
      <c r="B310" s="46"/>
    </row>
    <row r="311">
      <c r="B311" s="46"/>
    </row>
    <row r="312">
      <c r="B312" s="46"/>
    </row>
    <row r="313">
      <c r="B313" s="46"/>
    </row>
    <row r="314">
      <c r="B314" s="46"/>
    </row>
    <row r="315">
      <c r="B315" s="46"/>
    </row>
    <row r="316">
      <c r="B316" s="46"/>
    </row>
    <row r="317">
      <c r="B317" s="46"/>
    </row>
    <row r="318">
      <c r="B318" s="46"/>
    </row>
    <row r="319">
      <c r="B319" s="46"/>
    </row>
    <row r="320">
      <c r="B320" s="46"/>
    </row>
    <row r="321">
      <c r="B321" s="46"/>
    </row>
    <row r="322">
      <c r="B322" s="46"/>
    </row>
    <row r="323">
      <c r="B323" s="46"/>
    </row>
    <row r="324">
      <c r="B324" s="46"/>
    </row>
    <row r="325">
      <c r="B325" s="46"/>
    </row>
    <row r="326">
      <c r="B326" s="46"/>
    </row>
    <row r="327">
      <c r="B327" s="46"/>
    </row>
    <row r="328">
      <c r="B328" s="46"/>
    </row>
    <row r="329">
      <c r="B329" s="46"/>
    </row>
    <row r="330">
      <c r="B330" s="46"/>
    </row>
    <row r="331">
      <c r="B331" s="46"/>
    </row>
    <row r="332">
      <c r="B332" s="46"/>
    </row>
    <row r="333">
      <c r="B333" s="46"/>
    </row>
    <row r="334">
      <c r="B334" s="46"/>
    </row>
    <row r="335">
      <c r="B335" s="46"/>
    </row>
    <row r="336">
      <c r="B336" s="46"/>
    </row>
    <row r="337">
      <c r="B337" s="46"/>
    </row>
    <row r="338">
      <c r="B338" s="46"/>
    </row>
    <row r="339">
      <c r="B339" s="46"/>
    </row>
    <row r="340">
      <c r="B340" s="46"/>
    </row>
    <row r="341">
      <c r="B341" s="46"/>
    </row>
    <row r="342">
      <c r="B342" s="46"/>
    </row>
    <row r="343">
      <c r="B343" s="46"/>
    </row>
    <row r="344">
      <c r="B344" s="46"/>
    </row>
    <row r="345">
      <c r="B345" s="46"/>
    </row>
    <row r="346">
      <c r="B346" s="46"/>
    </row>
    <row r="347">
      <c r="B347" s="46"/>
    </row>
    <row r="348">
      <c r="B348" s="46"/>
    </row>
    <row r="349">
      <c r="B349" s="46"/>
    </row>
    <row r="350">
      <c r="B350" s="46"/>
    </row>
    <row r="351">
      <c r="B351" s="46"/>
    </row>
    <row r="352">
      <c r="B352" s="46"/>
    </row>
    <row r="353">
      <c r="B353" s="46"/>
    </row>
    <row r="354">
      <c r="B354" s="46"/>
    </row>
    <row r="355">
      <c r="B355" s="46"/>
    </row>
    <row r="356">
      <c r="B356" s="46"/>
    </row>
    <row r="357">
      <c r="B357" s="46"/>
    </row>
    <row r="358">
      <c r="B358" s="46"/>
    </row>
    <row r="359">
      <c r="B359" s="46"/>
    </row>
    <row r="360">
      <c r="B360" s="46"/>
    </row>
    <row r="361">
      <c r="B361" s="46"/>
    </row>
    <row r="362">
      <c r="B362" s="46"/>
    </row>
    <row r="363">
      <c r="B363" s="46"/>
    </row>
    <row r="364">
      <c r="B364" s="46"/>
    </row>
    <row r="365">
      <c r="B365" s="46"/>
    </row>
    <row r="366">
      <c r="B366" s="46"/>
    </row>
    <row r="367">
      <c r="B367" s="46"/>
    </row>
    <row r="368">
      <c r="B368" s="46"/>
    </row>
    <row r="369">
      <c r="B369" s="46"/>
    </row>
    <row r="370">
      <c r="B370" s="46"/>
    </row>
    <row r="371">
      <c r="B371" s="46"/>
    </row>
    <row r="372">
      <c r="B372" s="46"/>
    </row>
    <row r="373">
      <c r="B373" s="46"/>
    </row>
    <row r="374">
      <c r="B374" s="46"/>
    </row>
    <row r="375">
      <c r="B375" s="46"/>
    </row>
    <row r="376">
      <c r="B376" s="46"/>
    </row>
    <row r="377">
      <c r="B377" s="46"/>
    </row>
    <row r="378">
      <c r="B378" s="46"/>
    </row>
    <row r="379">
      <c r="B379" s="46"/>
    </row>
    <row r="380">
      <c r="B380" s="46"/>
    </row>
    <row r="381">
      <c r="B381" s="46"/>
    </row>
    <row r="382">
      <c r="B382" s="46"/>
    </row>
    <row r="383">
      <c r="B383" s="46"/>
    </row>
    <row r="384">
      <c r="B384" s="46"/>
    </row>
    <row r="385">
      <c r="B385" s="46"/>
    </row>
    <row r="386">
      <c r="B386" s="46"/>
    </row>
    <row r="387">
      <c r="B387" s="46"/>
    </row>
    <row r="388">
      <c r="B388" s="46"/>
    </row>
    <row r="389">
      <c r="B389" s="46"/>
    </row>
    <row r="390">
      <c r="B390" s="46"/>
    </row>
    <row r="391">
      <c r="B391" s="46"/>
    </row>
    <row r="392">
      <c r="B392" s="46"/>
    </row>
    <row r="393">
      <c r="B393" s="46"/>
    </row>
    <row r="394">
      <c r="B394" s="46"/>
    </row>
    <row r="395">
      <c r="B395" s="46"/>
    </row>
    <row r="396">
      <c r="B396" s="46"/>
    </row>
    <row r="397">
      <c r="B397" s="46"/>
    </row>
    <row r="398">
      <c r="B398" s="46"/>
    </row>
    <row r="399">
      <c r="B399" s="46"/>
    </row>
    <row r="400">
      <c r="B400" s="46"/>
    </row>
    <row r="401">
      <c r="B401" s="46"/>
    </row>
    <row r="402">
      <c r="B402" s="46"/>
    </row>
    <row r="403">
      <c r="B403" s="46"/>
    </row>
    <row r="404">
      <c r="B404" s="46"/>
    </row>
    <row r="405">
      <c r="B405" s="46"/>
    </row>
    <row r="406">
      <c r="B406" s="46"/>
    </row>
    <row r="407">
      <c r="B407" s="46"/>
    </row>
    <row r="408">
      <c r="B408" s="46"/>
    </row>
    <row r="409">
      <c r="B409" s="46"/>
    </row>
    <row r="410">
      <c r="B410" s="46"/>
    </row>
    <row r="411">
      <c r="B411" s="46"/>
    </row>
    <row r="412">
      <c r="B412" s="46"/>
    </row>
    <row r="413">
      <c r="B413" s="46"/>
    </row>
    <row r="414">
      <c r="B414" s="46"/>
    </row>
    <row r="415">
      <c r="B415" s="46"/>
    </row>
    <row r="416">
      <c r="B416" s="46"/>
    </row>
    <row r="417">
      <c r="B417" s="46"/>
    </row>
    <row r="418">
      <c r="B418" s="46"/>
    </row>
    <row r="419">
      <c r="B419" s="46"/>
    </row>
    <row r="420">
      <c r="B420" s="46"/>
    </row>
    <row r="421">
      <c r="B421" s="46"/>
    </row>
    <row r="422">
      <c r="B422" s="46"/>
    </row>
    <row r="423">
      <c r="B423" s="46"/>
    </row>
    <row r="424">
      <c r="B424" s="46"/>
    </row>
    <row r="425">
      <c r="B425" s="46"/>
    </row>
    <row r="426">
      <c r="B426" s="46"/>
    </row>
    <row r="427">
      <c r="B427" s="46"/>
    </row>
    <row r="428">
      <c r="B428" s="46"/>
    </row>
    <row r="429">
      <c r="B429" s="46"/>
    </row>
    <row r="430">
      <c r="B430" s="46"/>
    </row>
    <row r="431">
      <c r="B431" s="46"/>
    </row>
    <row r="432">
      <c r="B432" s="46"/>
    </row>
    <row r="433">
      <c r="B433" s="46"/>
    </row>
    <row r="434">
      <c r="B434" s="46"/>
    </row>
    <row r="435">
      <c r="B435" s="46"/>
    </row>
    <row r="436">
      <c r="B436" s="46"/>
    </row>
    <row r="437">
      <c r="B437" s="46"/>
    </row>
    <row r="438">
      <c r="B438" s="46"/>
    </row>
    <row r="439">
      <c r="B439" s="46"/>
    </row>
    <row r="440">
      <c r="B440" s="46"/>
    </row>
    <row r="441">
      <c r="B441" s="46"/>
    </row>
    <row r="442">
      <c r="B442" s="46"/>
    </row>
    <row r="443">
      <c r="B443" s="46"/>
    </row>
    <row r="444">
      <c r="B444" s="46"/>
    </row>
    <row r="445">
      <c r="B445" s="46"/>
    </row>
    <row r="446">
      <c r="B446" s="46"/>
    </row>
    <row r="447">
      <c r="B447" s="46"/>
    </row>
    <row r="448">
      <c r="B448" s="46"/>
    </row>
    <row r="449">
      <c r="B449" s="46"/>
    </row>
    <row r="450">
      <c r="B450" s="46"/>
    </row>
    <row r="451">
      <c r="B451" s="46"/>
    </row>
    <row r="452">
      <c r="B452" s="46"/>
    </row>
    <row r="453">
      <c r="B453" s="46"/>
    </row>
    <row r="454">
      <c r="B454" s="46"/>
    </row>
    <row r="455">
      <c r="B455" s="46"/>
    </row>
    <row r="456">
      <c r="B456" s="46"/>
    </row>
    <row r="457">
      <c r="B457" s="46"/>
    </row>
    <row r="458">
      <c r="B458" s="46"/>
    </row>
    <row r="459">
      <c r="B459" s="46"/>
    </row>
    <row r="460">
      <c r="B460" s="46"/>
    </row>
    <row r="461">
      <c r="B461" s="46"/>
    </row>
    <row r="462">
      <c r="B462" s="46"/>
    </row>
    <row r="463">
      <c r="B463" s="46"/>
    </row>
    <row r="464">
      <c r="B464" s="46"/>
    </row>
    <row r="465">
      <c r="B465" s="46"/>
    </row>
    <row r="466">
      <c r="B466" s="46"/>
    </row>
    <row r="467">
      <c r="B467" s="46"/>
    </row>
    <row r="468">
      <c r="B468" s="46"/>
    </row>
    <row r="469">
      <c r="B469" s="46"/>
    </row>
    <row r="470">
      <c r="B470" s="46"/>
    </row>
    <row r="471">
      <c r="B471" s="46"/>
    </row>
    <row r="472">
      <c r="B472" s="46"/>
    </row>
    <row r="473">
      <c r="B473" s="46"/>
    </row>
    <row r="474">
      <c r="B474" s="46"/>
    </row>
    <row r="475">
      <c r="B475" s="46"/>
    </row>
    <row r="476">
      <c r="B476" s="46"/>
    </row>
    <row r="477">
      <c r="B477" s="46"/>
    </row>
    <row r="478">
      <c r="B478" s="46"/>
    </row>
    <row r="479">
      <c r="B479" s="46"/>
    </row>
    <row r="480">
      <c r="B480" s="46"/>
    </row>
    <row r="481">
      <c r="B481" s="46"/>
    </row>
    <row r="482">
      <c r="B482" s="46"/>
    </row>
    <row r="483">
      <c r="B483" s="46"/>
    </row>
    <row r="484">
      <c r="B484" s="46"/>
    </row>
    <row r="485">
      <c r="B485" s="46"/>
    </row>
    <row r="486">
      <c r="B486" s="46"/>
    </row>
    <row r="487">
      <c r="B487" s="46"/>
    </row>
    <row r="488">
      <c r="B488" s="46"/>
    </row>
    <row r="489">
      <c r="B489" s="46"/>
    </row>
    <row r="490">
      <c r="B490" s="46"/>
    </row>
    <row r="491">
      <c r="B491" s="46"/>
    </row>
    <row r="492">
      <c r="B492" s="46"/>
    </row>
    <row r="493">
      <c r="B493" s="46"/>
    </row>
    <row r="494">
      <c r="B494" s="46"/>
    </row>
    <row r="495">
      <c r="B495" s="46"/>
    </row>
    <row r="496">
      <c r="B496" s="46"/>
    </row>
    <row r="497">
      <c r="B497" s="46"/>
    </row>
    <row r="498">
      <c r="B498" s="46"/>
    </row>
    <row r="499">
      <c r="B499" s="46"/>
    </row>
    <row r="500">
      <c r="B500" s="46"/>
    </row>
    <row r="501">
      <c r="B501" s="46"/>
    </row>
    <row r="502">
      <c r="B502" s="46"/>
    </row>
    <row r="503">
      <c r="B503" s="46"/>
    </row>
    <row r="504">
      <c r="B504" s="46"/>
    </row>
    <row r="505">
      <c r="B505" s="46"/>
    </row>
    <row r="506">
      <c r="B506" s="46"/>
    </row>
    <row r="507">
      <c r="B507" s="46"/>
    </row>
    <row r="508">
      <c r="B508" s="46"/>
    </row>
    <row r="509">
      <c r="B509" s="46"/>
    </row>
    <row r="510">
      <c r="B510" s="46"/>
    </row>
    <row r="511">
      <c r="B511" s="46"/>
    </row>
    <row r="512">
      <c r="B512" s="46"/>
    </row>
    <row r="513">
      <c r="B513" s="46"/>
    </row>
    <row r="514">
      <c r="B514" s="46"/>
    </row>
    <row r="515">
      <c r="B515" s="46"/>
    </row>
    <row r="516">
      <c r="B516" s="46"/>
    </row>
    <row r="517">
      <c r="B517" s="46"/>
    </row>
    <row r="518">
      <c r="B518" s="46"/>
    </row>
    <row r="519">
      <c r="B519" s="46"/>
    </row>
    <row r="520">
      <c r="B520" s="46"/>
    </row>
    <row r="521">
      <c r="B521" s="46"/>
    </row>
    <row r="522">
      <c r="B522" s="46"/>
    </row>
    <row r="523">
      <c r="B523" s="46"/>
    </row>
    <row r="524">
      <c r="B524" s="46"/>
    </row>
    <row r="525">
      <c r="B525" s="46"/>
    </row>
    <row r="526">
      <c r="B526" s="46"/>
    </row>
    <row r="527">
      <c r="B527" s="46"/>
    </row>
    <row r="528">
      <c r="B528" s="46"/>
    </row>
    <row r="529">
      <c r="B529" s="46"/>
    </row>
    <row r="530">
      <c r="B530" s="46"/>
    </row>
    <row r="531">
      <c r="B531" s="46"/>
    </row>
    <row r="532">
      <c r="B532" s="46"/>
    </row>
    <row r="533">
      <c r="B533" s="46"/>
    </row>
    <row r="534">
      <c r="B534" s="46"/>
    </row>
    <row r="535">
      <c r="B535" s="46"/>
    </row>
    <row r="536">
      <c r="B536" s="46"/>
    </row>
    <row r="537">
      <c r="B537" s="46"/>
    </row>
    <row r="538">
      <c r="B538" s="46"/>
    </row>
    <row r="539">
      <c r="B539" s="46"/>
    </row>
    <row r="540">
      <c r="B540" s="46"/>
    </row>
    <row r="541">
      <c r="B541" s="46"/>
    </row>
    <row r="542">
      <c r="B542" s="46"/>
    </row>
    <row r="543">
      <c r="B543" s="46"/>
    </row>
    <row r="544">
      <c r="B544" s="46"/>
    </row>
    <row r="545">
      <c r="B545" s="46"/>
    </row>
    <row r="546">
      <c r="B546" s="46"/>
    </row>
    <row r="547">
      <c r="B547" s="46"/>
    </row>
    <row r="548">
      <c r="B548" s="46"/>
    </row>
    <row r="549">
      <c r="B549" s="46"/>
    </row>
    <row r="550">
      <c r="B550" s="46"/>
    </row>
    <row r="551">
      <c r="B551" s="46"/>
    </row>
    <row r="552">
      <c r="B552" s="46"/>
    </row>
    <row r="553">
      <c r="B553" s="46"/>
    </row>
    <row r="554">
      <c r="B554" s="46"/>
    </row>
    <row r="555">
      <c r="B555" s="46"/>
    </row>
    <row r="556">
      <c r="B556" s="46"/>
    </row>
    <row r="557">
      <c r="B557" s="46"/>
    </row>
    <row r="558">
      <c r="B558" s="46"/>
    </row>
    <row r="559">
      <c r="B559" s="46"/>
    </row>
    <row r="560">
      <c r="B560" s="46"/>
    </row>
    <row r="561">
      <c r="B561" s="46"/>
    </row>
    <row r="562">
      <c r="B562" s="46"/>
    </row>
    <row r="563">
      <c r="B563" s="46"/>
    </row>
    <row r="564">
      <c r="B564" s="46"/>
    </row>
    <row r="565">
      <c r="B565" s="46"/>
    </row>
    <row r="566">
      <c r="B566" s="46"/>
    </row>
    <row r="567">
      <c r="B567" s="46"/>
    </row>
    <row r="568">
      <c r="B568" s="46"/>
    </row>
    <row r="569">
      <c r="B569" s="46"/>
    </row>
    <row r="570">
      <c r="B570" s="46"/>
    </row>
    <row r="571">
      <c r="B571" s="46"/>
    </row>
    <row r="572">
      <c r="B572" s="46"/>
    </row>
    <row r="573">
      <c r="B573" s="46"/>
    </row>
    <row r="574">
      <c r="B574" s="46"/>
    </row>
    <row r="575">
      <c r="B575" s="46"/>
    </row>
    <row r="576">
      <c r="B576" s="46"/>
    </row>
    <row r="577">
      <c r="B577" s="46"/>
    </row>
    <row r="578">
      <c r="B578" s="46"/>
    </row>
    <row r="579">
      <c r="B579" s="46"/>
    </row>
    <row r="580">
      <c r="B580" s="46"/>
    </row>
    <row r="581">
      <c r="B581" s="46"/>
    </row>
    <row r="582">
      <c r="B582" s="46"/>
    </row>
    <row r="583">
      <c r="B583" s="46"/>
    </row>
    <row r="584">
      <c r="B584" s="46"/>
    </row>
    <row r="585">
      <c r="B585" s="46"/>
    </row>
    <row r="586">
      <c r="B586" s="46"/>
    </row>
    <row r="587">
      <c r="B587" s="46"/>
    </row>
    <row r="588">
      <c r="B588" s="46"/>
    </row>
    <row r="589">
      <c r="B589" s="46"/>
    </row>
    <row r="590">
      <c r="B590" s="46"/>
    </row>
    <row r="591">
      <c r="B591" s="46"/>
    </row>
    <row r="592">
      <c r="B592" s="46"/>
    </row>
    <row r="593">
      <c r="B593" s="46"/>
    </row>
    <row r="594">
      <c r="B594" s="46"/>
    </row>
    <row r="595">
      <c r="B595" s="46"/>
    </row>
    <row r="596">
      <c r="B596" s="46"/>
    </row>
    <row r="597">
      <c r="B597" s="46"/>
    </row>
    <row r="598">
      <c r="B598" s="46"/>
    </row>
    <row r="599">
      <c r="B599" s="46"/>
    </row>
    <row r="600">
      <c r="B600" s="46"/>
    </row>
    <row r="601">
      <c r="B601" s="46"/>
    </row>
    <row r="602">
      <c r="B602" s="46"/>
    </row>
    <row r="603">
      <c r="B603" s="46"/>
    </row>
    <row r="604">
      <c r="B604" s="46"/>
    </row>
    <row r="605">
      <c r="B605" s="46"/>
    </row>
    <row r="606">
      <c r="B606" s="46"/>
    </row>
    <row r="607">
      <c r="B607" s="46"/>
    </row>
    <row r="608">
      <c r="B608" s="46"/>
    </row>
    <row r="609">
      <c r="B609" s="46"/>
    </row>
    <row r="610">
      <c r="B610" s="46"/>
    </row>
    <row r="611">
      <c r="B611" s="46"/>
    </row>
    <row r="612">
      <c r="B612" s="46"/>
    </row>
    <row r="613">
      <c r="B613" s="46"/>
    </row>
    <row r="614">
      <c r="B614" s="46"/>
    </row>
    <row r="615">
      <c r="B615" s="46"/>
    </row>
    <row r="616">
      <c r="B616" s="46"/>
    </row>
    <row r="617">
      <c r="B617" s="46"/>
    </row>
    <row r="618">
      <c r="B618" s="46"/>
    </row>
    <row r="619">
      <c r="B619" s="46"/>
    </row>
    <row r="620">
      <c r="B620" s="46"/>
    </row>
    <row r="621">
      <c r="B621" s="46"/>
    </row>
    <row r="622">
      <c r="B622" s="46"/>
    </row>
    <row r="623">
      <c r="B623" s="46"/>
    </row>
    <row r="624">
      <c r="B624" s="46"/>
    </row>
    <row r="625">
      <c r="B625" s="46"/>
    </row>
    <row r="626">
      <c r="B626" s="46"/>
    </row>
    <row r="627">
      <c r="B627" s="46"/>
    </row>
    <row r="628">
      <c r="B628" s="46"/>
    </row>
    <row r="629">
      <c r="B629" s="46"/>
    </row>
    <row r="630">
      <c r="B630" s="46"/>
    </row>
    <row r="631">
      <c r="B631" s="46"/>
    </row>
    <row r="632">
      <c r="B632" s="46"/>
    </row>
    <row r="633">
      <c r="B633" s="46"/>
    </row>
    <row r="634">
      <c r="B634" s="46"/>
    </row>
    <row r="635">
      <c r="B635" s="46"/>
    </row>
    <row r="636">
      <c r="B636" s="46"/>
    </row>
    <row r="637">
      <c r="B637" s="46"/>
    </row>
    <row r="638">
      <c r="B638" s="46"/>
    </row>
    <row r="639">
      <c r="B639" s="46"/>
    </row>
    <row r="640">
      <c r="B640" s="46"/>
    </row>
    <row r="641">
      <c r="B641" s="46"/>
    </row>
    <row r="642">
      <c r="B642" s="46"/>
    </row>
    <row r="643">
      <c r="B643" s="46"/>
    </row>
    <row r="644">
      <c r="B644" s="46"/>
    </row>
    <row r="645">
      <c r="B645" s="46"/>
    </row>
    <row r="646">
      <c r="B646" s="46"/>
    </row>
    <row r="647">
      <c r="B647" s="46"/>
    </row>
    <row r="648">
      <c r="B648" s="46"/>
    </row>
    <row r="649">
      <c r="B649" s="46"/>
    </row>
    <row r="650">
      <c r="B650" s="46"/>
    </row>
    <row r="651">
      <c r="B651" s="46"/>
    </row>
    <row r="652">
      <c r="B652" s="46"/>
    </row>
    <row r="653">
      <c r="B653" s="46"/>
    </row>
    <row r="654">
      <c r="B654" s="46"/>
    </row>
    <row r="655">
      <c r="B655" s="46"/>
    </row>
    <row r="656">
      <c r="B656" s="46"/>
    </row>
    <row r="657">
      <c r="B657" s="46"/>
    </row>
    <row r="658">
      <c r="B658" s="46"/>
    </row>
    <row r="659">
      <c r="B659" s="46"/>
    </row>
    <row r="660">
      <c r="B660" s="46"/>
    </row>
    <row r="661">
      <c r="B661" s="46"/>
    </row>
    <row r="662">
      <c r="B662" s="46"/>
    </row>
    <row r="663">
      <c r="B663" s="46"/>
    </row>
    <row r="664">
      <c r="B664" s="46"/>
    </row>
    <row r="665">
      <c r="B665" s="46"/>
    </row>
    <row r="666">
      <c r="B666" s="46"/>
    </row>
    <row r="667">
      <c r="B667" s="46"/>
    </row>
    <row r="668">
      <c r="B668" s="46"/>
    </row>
    <row r="669">
      <c r="B669" s="46"/>
    </row>
    <row r="670">
      <c r="B670" s="46"/>
    </row>
    <row r="671">
      <c r="B671" s="46"/>
    </row>
    <row r="672">
      <c r="B672" s="46"/>
    </row>
    <row r="673">
      <c r="B673" s="46"/>
    </row>
    <row r="674">
      <c r="B674" s="46"/>
    </row>
    <row r="675">
      <c r="B675" s="46"/>
    </row>
    <row r="676">
      <c r="B676" s="46"/>
    </row>
    <row r="677">
      <c r="B677" s="46"/>
    </row>
    <row r="678">
      <c r="B678" s="46"/>
    </row>
    <row r="679">
      <c r="B679" s="46"/>
    </row>
    <row r="680">
      <c r="B680" s="46"/>
    </row>
    <row r="681">
      <c r="B681" s="46"/>
    </row>
    <row r="682">
      <c r="B682" s="46"/>
    </row>
    <row r="683">
      <c r="B683" s="46"/>
    </row>
    <row r="684">
      <c r="B684" s="46"/>
    </row>
    <row r="685">
      <c r="B685" s="46"/>
    </row>
    <row r="686">
      <c r="B686" s="46"/>
    </row>
    <row r="687">
      <c r="B687" s="46"/>
    </row>
    <row r="688">
      <c r="B688" s="46"/>
    </row>
    <row r="689">
      <c r="B689" s="46"/>
    </row>
    <row r="690">
      <c r="B690" s="46"/>
    </row>
    <row r="691">
      <c r="B691" s="46"/>
    </row>
    <row r="692">
      <c r="B692" s="46"/>
    </row>
    <row r="693">
      <c r="B693" s="46"/>
    </row>
    <row r="694">
      <c r="B694" s="46"/>
    </row>
    <row r="695">
      <c r="B695" s="46"/>
    </row>
    <row r="696">
      <c r="B696" s="46"/>
    </row>
    <row r="697">
      <c r="B697" s="46"/>
    </row>
    <row r="698">
      <c r="B698" s="46"/>
    </row>
    <row r="699">
      <c r="B699" s="46"/>
    </row>
    <row r="700">
      <c r="B700" s="46"/>
    </row>
    <row r="701">
      <c r="B701" s="46"/>
    </row>
    <row r="702">
      <c r="B702" s="46"/>
    </row>
    <row r="703">
      <c r="B703" s="46"/>
    </row>
    <row r="704">
      <c r="B704" s="46"/>
    </row>
    <row r="705">
      <c r="B705" s="46"/>
    </row>
    <row r="706">
      <c r="B706" s="46"/>
    </row>
    <row r="707">
      <c r="B707" s="46"/>
    </row>
    <row r="708">
      <c r="B708" s="46"/>
    </row>
    <row r="709">
      <c r="B709" s="46"/>
    </row>
    <row r="710">
      <c r="B710" s="46"/>
    </row>
    <row r="711">
      <c r="B711" s="46"/>
    </row>
    <row r="712">
      <c r="B712" s="46"/>
    </row>
    <row r="713">
      <c r="B713" s="46"/>
    </row>
    <row r="714">
      <c r="B714" s="46"/>
    </row>
    <row r="715">
      <c r="B715" s="46"/>
    </row>
    <row r="716">
      <c r="B716" s="46"/>
    </row>
    <row r="717">
      <c r="B717" s="46"/>
    </row>
    <row r="718">
      <c r="B718" s="46"/>
    </row>
    <row r="719">
      <c r="B719" s="46"/>
    </row>
    <row r="720">
      <c r="B720" s="46"/>
    </row>
    <row r="721">
      <c r="B721" s="46"/>
    </row>
    <row r="722">
      <c r="B722" s="46"/>
    </row>
    <row r="723">
      <c r="B723" s="46"/>
    </row>
    <row r="724">
      <c r="B724" s="46"/>
    </row>
    <row r="725">
      <c r="B725" s="46"/>
    </row>
    <row r="726">
      <c r="B726" s="46"/>
    </row>
    <row r="727">
      <c r="B727" s="46"/>
    </row>
    <row r="728">
      <c r="B728" s="46"/>
    </row>
    <row r="729">
      <c r="B729" s="46"/>
    </row>
    <row r="730">
      <c r="B730" s="46"/>
    </row>
    <row r="731">
      <c r="B731" s="46"/>
    </row>
    <row r="732">
      <c r="B732" s="46"/>
    </row>
    <row r="733">
      <c r="B733" s="46"/>
    </row>
    <row r="734">
      <c r="B734" s="46"/>
    </row>
    <row r="735">
      <c r="B735" s="46"/>
    </row>
    <row r="736">
      <c r="B736" s="46"/>
    </row>
    <row r="737">
      <c r="B737" s="46"/>
    </row>
    <row r="738">
      <c r="B738" s="46"/>
    </row>
    <row r="739">
      <c r="B739" s="46"/>
    </row>
    <row r="740">
      <c r="B740" s="46"/>
    </row>
    <row r="741">
      <c r="B741" s="46"/>
    </row>
    <row r="742">
      <c r="B742" s="46"/>
    </row>
    <row r="743">
      <c r="B743" s="46"/>
    </row>
    <row r="744">
      <c r="B744" s="46"/>
    </row>
    <row r="745">
      <c r="B745" s="46"/>
    </row>
    <row r="746">
      <c r="B746" s="46"/>
    </row>
    <row r="747">
      <c r="B747" s="46"/>
    </row>
    <row r="748">
      <c r="B748" s="46"/>
    </row>
    <row r="749">
      <c r="B749" s="46"/>
    </row>
    <row r="750">
      <c r="B750" s="46"/>
    </row>
    <row r="751">
      <c r="B751" s="46"/>
    </row>
    <row r="752">
      <c r="B752" s="46"/>
    </row>
    <row r="753">
      <c r="B753" s="46"/>
    </row>
    <row r="754">
      <c r="B754" s="46"/>
    </row>
    <row r="755">
      <c r="B755" s="46"/>
    </row>
    <row r="756">
      <c r="B756" s="46"/>
    </row>
    <row r="757">
      <c r="B757" s="46"/>
    </row>
    <row r="758">
      <c r="B758" s="46"/>
    </row>
    <row r="759">
      <c r="B759" s="46"/>
    </row>
    <row r="760">
      <c r="B760" s="46"/>
    </row>
    <row r="761">
      <c r="B761" s="46"/>
    </row>
    <row r="762">
      <c r="B762" s="46"/>
    </row>
    <row r="763">
      <c r="B763" s="46"/>
    </row>
    <row r="764">
      <c r="B764" s="46"/>
    </row>
    <row r="765">
      <c r="B765" s="46"/>
    </row>
    <row r="766">
      <c r="B766" s="46"/>
    </row>
    <row r="767">
      <c r="B767" s="46"/>
    </row>
    <row r="768">
      <c r="B768" s="46"/>
    </row>
    <row r="769">
      <c r="B769" s="46"/>
    </row>
    <row r="770">
      <c r="B770" s="46"/>
    </row>
    <row r="771">
      <c r="B771" s="46"/>
    </row>
    <row r="772">
      <c r="B772" s="46"/>
    </row>
    <row r="773">
      <c r="B773" s="46"/>
    </row>
    <row r="774">
      <c r="B774" s="46"/>
    </row>
    <row r="775">
      <c r="B775" s="46"/>
    </row>
    <row r="776">
      <c r="B776" s="46"/>
    </row>
    <row r="777">
      <c r="B777" s="46"/>
    </row>
    <row r="778">
      <c r="B778" s="46"/>
    </row>
    <row r="779">
      <c r="B779" s="46"/>
    </row>
    <row r="780">
      <c r="B780" s="46"/>
    </row>
    <row r="781">
      <c r="B781" s="46"/>
    </row>
    <row r="782">
      <c r="B782" s="46"/>
    </row>
    <row r="783">
      <c r="B783" s="46"/>
    </row>
    <row r="784">
      <c r="B784" s="46"/>
    </row>
    <row r="785">
      <c r="B785" s="46"/>
    </row>
    <row r="786">
      <c r="B786" s="46"/>
    </row>
    <row r="787">
      <c r="B787" s="46"/>
    </row>
    <row r="788">
      <c r="B788" s="46"/>
    </row>
    <row r="789">
      <c r="B789" s="46"/>
    </row>
    <row r="790">
      <c r="B790" s="46"/>
    </row>
    <row r="791">
      <c r="B791" s="46"/>
    </row>
    <row r="792">
      <c r="B792" s="46"/>
    </row>
    <row r="793">
      <c r="B793" s="46"/>
    </row>
    <row r="794">
      <c r="B794" s="46"/>
    </row>
    <row r="795">
      <c r="B795" s="46"/>
    </row>
    <row r="796">
      <c r="B796" s="46"/>
    </row>
    <row r="797">
      <c r="B797" s="46"/>
    </row>
    <row r="798">
      <c r="B798" s="46"/>
    </row>
    <row r="799">
      <c r="B799" s="46"/>
    </row>
    <row r="800">
      <c r="B800" s="46"/>
    </row>
    <row r="801">
      <c r="B801" s="46"/>
    </row>
    <row r="802">
      <c r="B802" s="46"/>
    </row>
    <row r="803">
      <c r="B803" s="46"/>
    </row>
    <row r="804">
      <c r="B804" s="46"/>
    </row>
    <row r="805">
      <c r="B805" s="46"/>
    </row>
    <row r="806">
      <c r="B806" s="46"/>
    </row>
    <row r="807">
      <c r="B807" s="46"/>
    </row>
    <row r="808">
      <c r="B808" s="46"/>
    </row>
    <row r="809">
      <c r="B809" s="46"/>
    </row>
    <row r="810">
      <c r="B810" s="46"/>
    </row>
    <row r="811">
      <c r="B811" s="46"/>
    </row>
    <row r="812">
      <c r="B812" s="46"/>
    </row>
    <row r="813">
      <c r="B813" s="46"/>
    </row>
    <row r="814">
      <c r="B814" s="46"/>
    </row>
    <row r="815">
      <c r="B815" s="46"/>
    </row>
    <row r="816">
      <c r="B816" s="46"/>
    </row>
    <row r="817">
      <c r="B817" s="46"/>
    </row>
    <row r="818">
      <c r="B818" s="46"/>
    </row>
    <row r="819">
      <c r="B819" s="46"/>
    </row>
    <row r="820">
      <c r="B820" s="46"/>
    </row>
    <row r="821">
      <c r="B821" s="46"/>
    </row>
    <row r="822">
      <c r="B822" s="46"/>
    </row>
    <row r="823">
      <c r="B823" s="46"/>
    </row>
    <row r="824">
      <c r="B824" s="46"/>
    </row>
    <row r="825">
      <c r="B825" s="46"/>
    </row>
    <row r="826">
      <c r="B826" s="46"/>
    </row>
    <row r="827">
      <c r="B827" s="46"/>
    </row>
    <row r="828">
      <c r="B828" s="46"/>
    </row>
    <row r="829">
      <c r="B829" s="46"/>
    </row>
    <row r="830">
      <c r="B830" s="46"/>
    </row>
    <row r="831">
      <c r="B831" s="46"/>
    </row>
    <row r="832">
      <c r="B832" s="46"/>
    </row>
    <row r="833">
      <c r="B833" s="46"/>
    </row>
    <row r="834">
      <c r="B834" s="46"/>
    </row>
    <row r="835">
      <c r="B835" s="46"/>
    </row>
    <row r="836">
      <c r="B836" s="46"/>
    </row>
    <row r="837">
      <c r="B837" s="46"/>
    </row>
    <row r="838">
      <c r="B838" s="46"/>
    </row>
    <row r="839">
      <c r="B839" s="46"/>
    </row>
    <row r="840">
      <c r="B840" s="46"/>
    </row>
    <row r="841">
      <c r="B841" s="46"/>
    </row>
    <row r="842">
      <c r="B842" s="46"/>
    </row>
    <row r="843">
      <c r="B843" s="46"/>
    </row>
    <row r="844">
      <c r="B844" s="46"/>
    </row>
    <row r="845">
      <c r="B845" s="46"/>
    </row>
    <row r="846">
      <c r="B846" s="46"/>
    </row>
    <row r="847">
      <c r="B847" s="46"/>
    </row>
    <row r="848">
      <c r="B848" s="46"/>
    </row>
    <row r="849">
      <c r="B849" s="46"/>
    </row>
    <row r="850">
      <c r="B850" s="46"/>
    </row>
    <row r="851">
      <c r="B851" s="46"/>
    </row>
    <row r="852">
      <c r="B852" s="46"/>
    </row>
    <row r="853">
      <c r="B853" s="46"/>
    </row>
    <row r="854">
      <c r="B854" s="46"/>
    </row>
    <row r="855">
      <c r="B855" s="46"/>
    </row>
    <row r="856">
      <c r="B856" s="46"/>
    </row>
    <row r="857">
      <c r="B857" s="46"/>
    </row>
    <row r="858">
      <c r="B858" s="46"/>
    </row>
    <row r="859">
      <c r="B859" s="46"/>
    </row>
    <row r="860">
      <c r="B860" s="46"/>
    </row>
    <row r="861">
      <c r="B861" s="46"/>
    </row>
    <row r="862">
      <c r="B862" s="46"/>
    </row>
    <row r="863">
      <c r="B863" s="46"/>
    </row>
    <row r="864">
      <c r="B864" s="46"/>
    </row>
    <row r="865">
      <c r="B865" s="46"/>
    </row>
    <row r="866">
      <c r="B866" s="46"/>
    </row>
    <row r="867">
      <c r="B867" s="46"/>
    </row>
    <row r="868">
      <c r="B868" s="46"/>
    </row>
    <row r="869">
      <c r="B869" s="46"/>
    </row>
    <row r="870">
      <c r="B870" s="46"/>
    </row>
    <row r="871">
      <c r="B871" s="46"/>
    </row>
    <row r="872">
      <c r="B872" s="46"/>
    </row>
    <row r="873">
      <c r="B873" s="46"/>
    </row>
    <row r="874">
      <c r="B874" s="46"/>
    </row>
    <row r="875">
      <c r="B875" s="46"/>
    </row>
    <row r="876">
      <c r="B876" s="46"/>
    </row>
    <row r="877">
      <c r="B877" s="46"/>
    </row>
    <row r="878">
      <c r="B878" s="46"/>
    </row>
    <row r="879">
      <c r="B879" s="46"/>
    </row>
    <row r="880">
      <c r="B880" s="46"/>
    </row>
    <row r="881">
      <c r="B881" s="46"/>
    </row>
    <row r="882">
      <c r="B882" s="46"/>
    </row>
    <row r="883">
      <c r="B883" s="46"/>
    </row>
    <row r="884">
      <c r="B884" s="46"/>
    </row>
    <row r="885">
      <c r="B885" s="46"/>
    </row>
    <row r="886">
      <c r="B886" s="46"/>
    </row>
    <row r="887">
      <c r="B887" s="46"/>
    </row>
    <row r="888">
      <c r="B888" s="46"/>
    </row>
    <row r="889">
      <c r="B889" s="46"/>
    </row>
    <row r="890">
      <c r="B890" s="46"/>
    </row>
    <row r="891">
      <c r="B891" s="46"/>
    </row>
    <row r="892">
      <c r="B892" s="46"/>
    </row>
    <row r="893">
      <c r="B893" s="46"/>
    </row>
    <row r="894">
      <c r="B894" s="46"/>
    </row>
    <row r="895">
      <c r="B895" s="46"/>
    </row>
    <row r="896">
      <c r="B896" s="46"/>
    </row>
    <row r="897">
      <c r="B897" s="46"/>
    </row>
    <row r="898">
      <c r="B898" s="46"/>
    </row>
    <row r="899">
      <c r="B899" s="46"/>
    </row>
    <row r="900">
      <c r="B900" s="46"/>
    </row>
    <row r="901">
      <c r="B901" s="46"/>
    </row>
    <row r="902">
      <c r="B902" s="46"/>
    </row>
    <row r="903">
      <c r="B903" s="46"/>
    </row>
    <row r="904">
      <c r="B904" s="46"/>
    </row>
    <row r="905">
      <c r="B905" s="46"/>
    </row>
    <row r="906">
      <c r="B906" s="46"/>
    </row>
    <row r="907">
      <c r="B907" s="46"/>
    </row>
    <row r="908">
      <c r="B908" s="46"/>
    </row>
    <row r="909">
      <c r="B909" s="46"/>
    </row>
    <row r="910">
      <c r="B910" s="46"/>
    </row>
    <row r="911">
      <c r="B911" s="46"/>
    </row>
    <row r="912">
      <c r="B912" s="46"/>
    </row>
    <row r="913">
      <c r="B913" s="46"/>
    </row>
    <row r="914">
      <c r="B914" s="46"/>
    </row>
    <row r="915">
      <c r="B915" s="46"/>
    </row>
    <row r="916">
      <c r="B916" s="46"/>
    </row>
    <row r="917">
      <c r="B917" s="46"/>
    </row>
    <row r="918">
      <c r="B918" s="46"/>
    </row>
    <row r="919">
      <c r="B919" s="46"/>
    </row>
    <row r="920">
      <c r="B920" s="46"/>
    </row>
    <row r="921">
      <c r="B921" s="46"/>
    </row>
    <row r="922">
      <c r="B922" s="46"/>
    </row>
    <row r="923">
      <c r="B923" s="46"/>
    </row>
    <row r="924">
      <c r="B924" s="46"/>
    </row>
    <row r="925">
      <c r="B925" s="46"/>
    </row>
    <row r="926">
      <c r="B926" s="46"/>
    </row>
    <row r="927">
      <c r="B927" s="46"/>
    </row>
    <row r="928">
      <c r="B928" s="46"/>
    </row>
    <row r="929">
      <c r="B929" s="46"/>
    </row>
    <row r="930">
      <c r="B930" s="46"/>
    </row>
    <row r="931">
      <c r="B931" s="46"/>
    </row>
    <row r="932">
      <c r="B932" s="46"/>
    </row>
    <row r="933">
      <c r="B933" s="46"/>
    </row>
    <row r="934">
      <c r="B934" s="46"/>
    </row>
    <row r="935">
      <c r="B935" s="46"/>
    </row>
    <row r="936">
      <c r="B936" s="46"/>
    </row>
    <row r="937">
      <c r="B937" s="46"/>
    </row>
    <row r="938">
      <c r="B938" s="46"/>
    </row>
    <row r="939">
      <c r="B939" s="46"/>
    </row>
    <row r="940">
      <c r="B940" s="46"/>
    </row>
    <row r="941">
      <c r="B941" s="46"/>
    </row>
    <row r="942">
      <c r="B942" s="46"/>
    </row>
    <row r="943">
      <c r="B943" s="46"/>
    </row>
    <row r="944">
      <c r="B944" s="46"/>
    </row>
    <row r="945">
      <c r="B945" s="46"/>
    </row>
    <row r="946">
      <c r="B946" s="46"/>
    </row>
    <row r="947">
      <c r="B947" s="46"/>
    </row>
    <row r="948">
      <c r="B948" s="46"/>
    </row>
    <row r="949">
      <c r="B949" s="46"/>
    </row>
    <row r="950">
      <c r="B950" s="46"/>
    </row>
    <row r="951">
      <c r="B951" s="46"/>
    </row>
    <row r="952">
      <c r="B952" s="46"/>
    </row>
    <row r="953">
      <c r="B953" s="46"/>
    </row>
    <row r="954">
      <c r="B954" s="46"/>
    </row>
    <row r="955">
      <c r="B955" s="46"/>
    </row>
    <row r="956">
      <c r="B956" s="46"/>
    </row>
    <row r="957">
      <c r="B957" s="46"/>
    </row>
    <row r="958">
      <c r="B958" s="46"/>
    </row>
    <row r="959">
      <c r="B959" s="46"/>
    </row>
    <row r="960">
      <c r="B960" s="46"/>
    </row>
    <row r="961">
      <c r="B961" s="46"/>
    </row>
    <row r="962">
      <c r="B962" s="46"/>
    </row>
    <row r="963">
      <c r="B963" s="46"/>
    </row>
    <row r="964">
      <c r="B964" s="46"/>
    </row>
    <row r="965">
      <c r="B965" s="46"/>
    </row>
    <row r="966">
      <c r="B966" s="46"/>
    </row>
    <row r="967">
      <c r="B967" s="46"/>
    </row>
    <row r="968">
      <c r="B968" s="46"/>
    </row>
    <row r="969">
      <c r="B969" s="46"/>
    </row>
    <row r="970">
      <c r="B970" s="46"/>
    </row>
    <row r="971">
      <c r="B971" s="46"/>
    </row>
    <row r="972">
      <c r="B972" s="46"/>
    </row>
    <row r="973">
      <c r="B973" s="46"/>
    </row>
    <row r="974">
      <c r="B974" s="46"/>
    </row>
    <row r="975">
      <c r="B975" s="46"/>
    </row>
    <row r="976">
      <c r="B976" s="46"/>
    </row>
    <row r="977">
      <c r="B977" s="46"/>
    </row>
    <row r="978">
      <c r="B978" s="46"/>
    </row>
    <row r="979">
      <c r="B979" s="46"/>
    </row>
    <row r="980">
      <c r="B980" s="46"/>
    </row>
    <row r="981">
      <c r="B981" s="46"/>
    </row>
    <row r="982">
      <c r="B982" s="46"/>
    </row>
    <row r="983">
      <c r="B983" s="46"/>
    </row>
    <row r="984">
      <c r="B984" s="46"/>
    </row>
    <row r="985">
      <c r="B985" s="46"/>
    </row>
    <row r="986">
      <c r="B986" s="46"/>
    </row>
    <row r="987">
      <c r="B987" s="46"/>
    </row>
    <row r="988">
      <c r="B988" s="46"/>
    </row>
    <row r="989">
      <c r="B989" s="46"/>
    </row>
    <row r="990">
      <c r="B990" s="46"/>
    </row>
    <row r="991">
      <c r="B991" s="46"/>
    </row>
    <row r="992">
      <c r="B992" s="46"/>
    </row>
    <row r="993">
      <c r="B993" s="46"/>
    </row>
    <row r="994">
      <c r="B994" s="46"/>
    </row>
    <row r="995">
      <c r="B995" s="46"/>
    </row>
    <row r="996">
      <c r="B996" s="46"/>
    </row>
    <row r="997">
      <c r="B997" s="46"/>
    </row>
    <row r="998">
      <c r="B998" s="46"/>
    </row>
    <row r="999">
      <c r="B999" s="46"/>
    </row>
    <row r="1000">
      <c r="B1000" s="46"/>
    </row>
    <row r="1001">
      <c r="B1001" s="46"/>
    </row>
    <row r="1002">
      <c r="B1002" s="46"/>
    </row>
    <row r="1003">
      <c r="B1003" s="46"/>
    </row>
    <row r="1004">
      <c r="B1004" s="46"/>
    </row>
    <row r="1005">
      <c r="B1005" s="46"/>
    </row>
    <row r="1006">
      <c r="B1006" s="46"/>
    </row>
    <row r="1007">
      <c r="B1007" s="46"/>
    </row>
    <row r="1008">
      <c r="B1008" s="46"/>
    </row>
    <row r="1009">
      <c r="B1009" s="4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406</v>
      </c>
      <c r="B1" s="108" t="s">
        <v>98</v>
      </c>
    </row>
    <row r="2">
      <c r="A2" s="38" t="s">
        <v>200</v>
      </c>
      <c r="B2" s="108">
        <v>990.0</v>
      </c>
    </row>
    <row r="3">
      <c r="A3" s="38" t="s">
        <v>363</v>
      </c>
      <c r="B3" s="108">
        <v>654.0</v>
      </c>
    </row>
    <row r="4">
      <c r="A4" s="38" t="s">
        <v>208</v>
      </c>
      <c r="B4" s="108">
        <v>504.0</v>
      </c>
    </row>
    <row r="5">
      <c r="A5" s="38" t="s">
        <v>224</v>
      </c>
      <c r="B5" s="108">
        <v>336.0</v>
      </c>
    </row>
    <row r="6">
      <c r="A6" s="38" t="s">
        <v>234</v>
      </c>
      <c r="B6" s="108">
        <v>486.0</v>
      </c>
    </row>
    <row r="7">
      <c r="A7" s="38" t="s">
        <v>364</v>
      </c>
      <c r="B7" s="108">
        <v>100.0</v>
      </c>
    </row>
    <row r="8">
      <c r="A8" s="38" t="s">
        <v>255</v>
      </c>
      <c r="B8" s="108">
        <v>1140.0</v>
      </c>
    </row>
    <row r="9">
      <c r="A9" s="38" t="s">
        <v>365</v>
      </c>
      <c r="B9" s="108">
        <v>744.0</v>
      </c>
    </row>
    <row r="10">
      <c r="A10" s="38" t="s">
        <v>366</v>
      </c>
      <c r="B10" s="108">
        <v>594.0</v>
      </c>
    </row>
    <row r="11">
      <c r="A11" s="38" t="s">
        <v>367</v>
      </c>
      <c r="B11" s="108">
        <v>396.0</v>
      </c>
    </row>
    <row r="12">
      <c r="A12" s="38" t="s">
        <v>368</v>
      </c>
      <c r="B12" s="108">
        <v>546.0</v>
      </c>
    </row>
    <row r="13">
      <c r="A13" s="38" t="s">
        <v>369</v>
      </c>
      <c r="B13" s="108">
        <v>100.0</v>
      </c>
    </row>
    <row r="14">
      <c r="A14" s="38" t="s">
        <v>370</v>
      </c>
      <c r="B14" s="108">
        <v>798.0</v>
      </c>
    </row>
    <row r="15">
      <c r="A15" s="38" t="s">
        <v>371</v>
      </c>
      <c r="B15" s="108">
        <v>504.0</v>
      </c>
    </row>
    <row r="16">
      <c r="A16" s="38" t="s">
        <v>372</v>
      </c>
      <c r="B16" s="108">
        <v>432.0</v>
      </c>
    </row>
    <row r="17">
      <c r="A17" s="38" t="s">
        <v>373</v>
      </c>
      <c r="B17" s="108">
        <v>582.0</v>
      </c>
    </row>
    <row r="18">
      <c r="A18" s="38" t="s">
        <v>374</v>
      </c>
      <c r="B18" s="108">
        <v>100.0</v>
      </c>
    </row>
    <row r="19">
      <c r="A19" s="38" t="s">
        <v>233</v>
      </c>
      <c r="B19" s="108">
        <v>1290.0</v>
      </c>
    </row>
    <row r="20">
      <c r="A20" s="38" t="s">
        <v>173</v>
      </c>
      <c r="B20" s="108">
        <v>834.0</v>
      </c>
    </row>
    <row r="21">
      <c r="A21" s="38" t="s">
        <v>204</v>
      </c>
      <c r="B21" s="108">
        <v>648.0</v>
      </c>
    </row>
    <row r="22">
      <c r="A22" s="38" t="s">
        <v>226</v>
      </c>
      <c r="B22" s="108">
        <v>456.0</v>
      </c>
    </row>
    <row r="23">
      <c r="A23" s="38" t="s">
        <v>207</v>
      </c>
      <c r="B23" s="108">
        <v>606.0</v>
      </c>
    </row>
    <row r="24">
      <c r="A24" s="38" t="s">
        <v>235</v>
      </c>
      <c r="B24" s="108">
        <v>100.0</v>
      </c>
    </row>
    <row r="25">
      <c r="A25" s="38" t="s">
        <v>375</v>
      </c>
      <c r="B25" s="108">
        <v>960.0</v>
      </c>
    </row>
    <row r="26">
      <c r="A26" s="38" t="s">
        <v>174</v>
      </c>
      <c r="B26" s="108">
        <v>684.0</v>
      </c>
    </row>
    <row r="27">
      <c r="A27" s="38" t="s">
        <v>376</v>
      </c>
      <c r="B27" s="108">
        <v>540.0</v>
      </c>
    </row>
    <row r="28">
      <c r="A28" s="38" t="s">
        <v>175</v>
      </c>
      <c r="B28" s="108">
        <v>690.0</v>
      </c>
    </row>
    <row r="29">
      <c r="A29" s="38" t="s">
        <v>377</v>
      </c>
      <c r="B29" s="108">
        <v>150.0</v>
      </c>
    </row>
    <row r="30">
      <c r="A30" s="38" t="s">
        <v>243</v>
      </c>
      <c r="B30" s="108">
        <v>1050.0</v>
      </c>
    </row>
    <row r="31">
      <c r="A31" s="38" t="s">
        <v>378</v>
      </c>
      <c r="B31" s="108">
        <v>900.0</v>
      </c>
    </row>
    <row r="32">
      <c r="A32" s="38" t="s">
        <v>246</v>
      </c>
      <c r="B32" s="108">
        <v>600.0</v>
      </c>
    </row>
    <row r="33">
      <c r="A33" s="38" t="s">
        <v>379</v>
      </c>
      <c r="B33" s="108">
        <v>690.0</v>
      </c>
    </row>
    <row r="34">
      <c r="A34" s="38" t="s">
        <v>380</v>
      </c>
      <c r="B34" s="108">
        <v>150.0</v>
      </c>
    </row>
    <row r="35">
      <c r="A35" s="38" t="s">
        <v>244</v>
      </c>
      <c r="B35" s="108">
        <v>1230.0</v>
      </c>
    </row>
    <row r="36">
      <c r="A36" s="38" t="s">
        <v>185</v>
      </c>
      <c r="B36" s="108">
        <v>1080.0</v>
      </c>
    </row>
    <row r="37">
      <c r="A37" s="38" t="s">
        <v>187</v>
      </c>
      <c r="B37" s="108">
        <v>720.0</v>
      </c>
    </row>
    <row r="38">
      <c r="A38" s="38" t="s">
        <v>190</v>
      </c>
      <c r="B38" s="108">
        <v>870.0</v>
      </c>
    </row>
    <row r="39">
      <c r="A39" s="38" t="s">
        <v>245</v>
      </c>
      <c r="B39" s="108">
        <v>200.0</v>
      </c>
    </row>
    <row r="40">
      <c r="B40" s="46"/>
    </row>
    <row r="41">
      <c r="B41" s="46"/>
    </row>
    <row r="42">
      <c r="B42" s="46"/>
    </row>
    <row r="43">
      <c r="B43" s="46"/>
    </row>
    <row r="44">
      <c r="B44" s="46"/>
    </row>
    <row r="45">
      <c r="B45" s="46"/>
    </row>
    <row r="46">
      <c r="B46" s="46"/>
    </row>
    <row r="47">
      <c r="B47" s="46"/>
    </row>
    <row r="48">
      <c r="B48" s="46"/>
    </row>
    <row r="49">
      <c r="B49" s="46"/>
    </row>
    <row r="50">
      <c r="B50" s="46"/>
    </row>
    <row r="51">
      <c r="B51" s="46"/>
    </row>
    <row r="52">
      <c r="B52" s="46"/>
    </row>
    <row r="53">
      <c r="B53" s="46"/>
    </row>
    <row r="54">
      <c r="B54" s="46"/>
    </row>
    <row r="55">
      <c r="B55" s="46"/>
    </row>
    <row r="56">
      <c r="B56" s="46"/>
    </row>
    <row r="57">
      <c r="B57" s="46"/>
    </row>
    <row r="58">
      <c r="B58" s="46"/>
    </row>
    <row r="59">
      <c r="B59" s="46"/>
    </row>
    <row r="60">
      <c r="B60" s="46"/>
    </row>
    <row r="61">
      <c r="B61" s="46"/>
    </row>
    <row r="62">
      <c r="B62" s="46"/>
    </row>
    <row r="63">
      <c r="B63" s="46"/>
    </row>
    <row r="64">
      <c r="B64" s="46"/>
    </row>
    <row r="65">
      <c r="B65" s="46"/>
    </row>
    <row r="66">
      <c r="B66" s="46"/>
    </row>
    <row r="67">
      <c r="B67" s="46"/>
    </row>
    <row r="68">
      <c r="B68" s="46"/>
    </row>
    <row r="69">
      <c r="B69" s="46"/>
    </row>
    <row r="70">
      <c r="B70" s="46"/>
    </row>
    <row r="71">
      <c r="B71" s="46"/>
    </row>
    <row r="72">
      <c r="B72" s="46"/>
    </row>
    <row r="73">
      <c r="B73" s="46"/>
    </row>
    <row r="74">
      <c r="B74" s="46"/>
    </row>
    <row r="75">
      <c r="B75" s="46"/>
    </row>
    <row r="76">
      <c r="B76" s="46"/>
    </row>
    <row r="77">
      <c r="B77" s="46"/>
    </row>
    <row r="78">
      <c r="B78" s="46"/>
    </row>
    <row r="79">
      <c r="B79" s="46"/>
    </row>
    <row r="80">
      <c r="B80" s="46"/>
    </row>
    <row r="81">
      <c r="B81" s="46"/>
    </row>
    <row r="82">
      <c r="B82" s="46"/>
    </row>
    <row r="83">
      <c r="B83" s="46"/>
    </row>
    <row r="84">
      <c r="B84" s="46"/>
    </row>
    <row r="85">
      <c r="B85" s="46"/>
    </row>
    <row r="86">
      <c r="B86" s="46"/>
    </row>
    <row r="87">
      <c r="B87" s="46"/>
    </row>
    <row r="88">
      <c r="B88" s="46"/>
    </row>
    <row r="89">
      <c r="B89" s="46"/>
    </row>
    <row r="90">
      <c r="B90" s="46"/>
    </row>
    <row r="91">
      <c r="B91" s="46"/>
    </row>
    <row r="92">
      <c r="B92" s="46"/>
    </row>
    <row r="93">
      <c r="B93" s="46"/>
    </row>
    <row r="94">
      <c r="B94" s="46"/>
    </row>
    <row r="95">
      <c r="B95" s="46"/>
    </row>
    <row r="96">
      <c r="B96" s="46"/>
    </row>
    <row r="97">
      <c r="B97" s="46"/>
    </row>
    <row r="98">
      <c r="B98" s="46"/>
    </row>
    <row r="99">
      <c r="B99" s="46"/>
    </row>
    <row r="100">
      <c r="B100" s="46"/>
    </row>
    <row r="101">
      <c r="B101" s="46"/>
    </row>
    <row r="102">
      <c r="B102" s="46"/>
    </row>
    <row r="103">
      <c r="B103" s="46"/>
    </row>
    <row r="104">
      <c r="B104" s="46"/>
    </row>
    <row r="105">
      <c r="B105" s="46"/>
    </row>
    <row r="106">
      <c r="B106" s="46"/>
    </row>
    <row r="107">
      <c r="B107" s="46"/>
    </row>
    <row r="108">
      <c r="B108" s="46"/>
    </row>
    <row r="109">
      <c r="B109" s="46"/>
    </row>
    <row r="110">
      <c r="B110" s="46"/>
    </row>
    <row r="111">
      <c r="B111" s="46"/>
    </row>
    <row r="112">
      <c r="B112" s="46"/>
    </row>
    <row r="113">
      <c r="B113" s="46"/>
    </row>
    <row r="114">
      <c r="B114" s="46"/>
    </row>
    <row r="115">
      <c r="B115" s="46"/>
    </row>
    <row r="116">
      <c r="B116" s="46"/>
    </row>
    <row r="117">
      <c r="B117" s="46"/>
    </row>
    <row r="118">
      <c r="B118" s="46"/>
    </row>
    <row r="119">
      <c r="B119" s="46"/>
    </row>
    <row r="120">
      <c r="B120" s="46"/>
    </row>
    <row r="121">
      <c r="B121" s="46"/>
    </row>
    <row r="122">
      <c r="B122" s="46"/>
    </row>
    <row r="123">
      <c r="B123" s="46"/>
    </row>
    <row r="124">
      <c r="B124" s="46"/>
    </row>
    <row r="125">
      <c r="B125" s="46"/>
    </row>
    <row r="126">
      <c r="B126" s="46"/>
    </row>
    <row r="127">
      <c r="B127" s="46"/>
    </row>
    <row r="128">
      <c r="B128" s="46"/>
    </row>
    <row r="129">
      <c r="B129" s="46"/>
    </row>
    <row r="130">
      <c r="B130" s="46"/>
    </row>
    <row r="131">
      <c r="B131" s="46"/>
    </row>
    <row r="132">
      <c r="B132" s="46"/>
    </row>
    <row r="133">
      <c r="B133" s="46"/>
    </row>
    <row r="134">
      <c r="B134" s="46"/>
    </row>
    <row r="135">
      <c r="B135" s="46"/>
    </row>
    <row r="136">
      <c r="B136" s="46"/>
    </row>
    <row r="137">
      <c r="B137" s="46"/>
    </row>
    <row r="138">
      <c r="B138" s="46"/>
    </row>
    <row r="139">
      <c r="B139" s="46"/>
    </row>
    <row r="140">
      <c r="B140" s="46"/>
    </row>
    <row r="141">
      <c r="B141" s="46"/>
    </row>
    <row r="142">
      <c r="B142" s="46"/>
    </row>
    <row r="143">
      <c r="B143" s="46"/>
    </row>
    <row r="144">
      <c r="B144" s="46"/>
    </row>
    <row r="145">
      <c r="B145" s="46"/>
    </row>
    <row r="146">
      <c r="B146" s="46"/>
    </row>
    <row r="147">
      <c r="B147" s="46"/>
    </row>
    <row r="148">
      <c r="B148" s="46"/>
    </row>
    <row r="149">
      <c r="B149" s="46"/>
    </row>
    <row r="150">
      <c r="B150" s="46"/>
    </row>
    <row r="151">
      <c r="B151" s="46"/>
    </row>
    <row r="152">
      <c r="B152" s="46"/>
    </row>
    <row r="153">
      <c r="B153" s="46"/>
    </row>
    <row r="154">
      <c r="B154" s="46"/>
    </row>
    <row r="155">
      <c r="B155" s="46"/>
    </row>
    <row r="156">
      <c r="B156" s="46"/>
    </row>
    <row r="157">
      <c r="B157" s="46"/>
    </row>
    <row r="158">
      <c r="B158" s="46"/>
    </row>
    <row r="159">
      <c r="B159" s="46"/>
    </row>
    <row r="160">
      <c r="B160" s="46"/>
    </row>
    <row r="161">
      <c r="B161" s="46"/>
    </row>
    <row r="162">
      <c r="B162" s="46"/>
    </row>
    <row r="163">
      <c r="B163" s="46"/>
    </row>
    <row r="164">
      <c r="B164" s="46"/>
    </row>
    <row r="165">
      <c r="B165" s="46"/>
    </row>
    <row r="166">
      <c r="B166" s="46"/>
    </row>
    <row r="167">
      <c r="B167" s="46"/>
    </row>
    <row r="168">
      <c r="B168" s="46"/>
    </row>
    <row r="169">
      <c r="B169" s="46"/>
    </row>
    <row r="170">
      <c r="B170" s="46"/>
    </row>
    <row r="171">
      <c r="B171" s="46"/>
    </row>
    <row r="172">
      <c r="B172" s="46"/>
    </row>
    <row r="173">
      <c r="B173" s="46"/>
    </row>
    <row r="174">
      <c r="B174" s="46"/>
    </row>
    <row r="175">
      <c r="B175" s="46"/>
    </row>
    <row r="176">
      <c r="B176" s="46"/>
    </row>
    <row r="177">
      <c r="B177" s="46"/>
    </row>
    <row r="178">
      <c r="B178" s="46"/>
    </row>
    <row r="179">
      <c r="B179" s="46"/>
    </row>
    <row r="180">
      <c r="B180" s="46"/>
    </row>
    <row r="181">
      <c r="B181" s="46"/>
    </row>
    <row r="182">
      <c r="B182" s="46"/>
    </row>
    <row r="183">
      <c r="B183" s="46"/>
    </row>
    <row r="184">
      <c r="B184" s="46"/>
    </row>
    <row r="185">
      <c r="B185" s="46"/>
    </row>
    <row r="186">
      <c r="B186" s="46"/>
    </row>
    <row r="187">
      <c r="B187" s="46"/>
    </row>
    <row r="188">
      <c r="B188" s="46"/>
    </row>
    <row r="189">
      <c r="B189" s="46"/>
    </row>
    <row r="190">
      <c r="B190" s="46"/>
    </row>
    <row r="191">
      <c r="B191" s="46"/>
    </row>
    <row r="192">
      <c r="B192" s="46"/>
    </row>
    <row r="193">
      <c r="B193" s="46"/>
    </row>
    <row r="194">
      <c r="B194" s="46"/>
    </row>
    <row r="195">
      <c r="B195" s="46"/>
    </row>
    <row r="196">
      <c r="B196" s="46"/>
    </row>
    <row r="197">
      <c r="B197" s="46"/>
    </row>
    <row r="198">
      <c r="B198" s="46"/>
    </row>
    <row r="199">
      <c r="B199" s="46"/>
    </row>
    <row r="200">
      <c r="B200" s="46"/>
    </row>
    <row r="201">
      <c r="B201" s="46"/>
    </row>
    <row r="202">
      <c r="B202" s="46"/>
    </row>
    <row r="203">
      <c r="B203" s="46"/>
    </row>
    <row r="204">
      <c r="B204" s="46"/>
    </row>
    <row r="205">
      <c r="B205" s="46"/>
    </row>
    <row r="206">
      <c r="B206" s="46"/>
    </row>
    <row r="207">
      <c r="B207" s="46"/>
    </row>
    <row r="208">
      <c r="B208" s="46"/>
    </row>
    <row r="209">
      <c r="B209" s="46"/>
    </row>
    <row r="210">
      <c r="B210" s="46"/>
    </row>
    <row r="211">
      <c r="B211" s="46"/>
    </row>
    <row r="212">
      <c r="B212" s="46"/>
    </row>
    <row r="213">
      <c r="B213" s="46"/>
    </row>
    <row r="214">
      <c r="B214" s="46"/>
    </row>
    <row r="215">
      <c r="B215" s="46"/>
    </row>
    <row r="216">
      <c r="B216" s="46"/>
    </row>
    <row r="217">
      <c r="B217" s="46"/>
    </row>
    <row r="218">
      <c r="B218" s="46"/>
    </row>
    <row r="219">
      <c r="B219" s="46"/>
    </row>
    <row r="220">
      <c r="B220" s="46"/>
    </row>
    <row r="221">
      <c r="B221" s="46"/>
    </row>
    <row r="222">
      <c r="B222" s="46"/>
    </row>
    <row r="223">
      <c r="B223" s="46"/>
    </row>
    <row r="224">
      <c r="B224" s="46"/>
    </row>
    <row r="225">
      <c r="B225" s="46"/>
    </row>
    <row r="226">
      <c r="B226" s="46"/>
    </row>
    <row r="227">
      <c r="B227" s="46"/>
    </row>
    <row r="228">
      <c r="B228" s="46"/>
    </row>
    <row r="229">
      <c r="B229" s="46"/>
    </row>
    <row r="230">
      <c r="B230" s="46"/>
    </row>
    <row r="231">
      <c r="B231" s="46"/>
    </row>
    <row r="232">
      <c r="B232" s="46"/>
    </row>
    <row r="233">
      <c r="B233" s="46"/>
    </row>
    <row r="234">
      <c r="B234" s="46"/>
    </row>
    <row r="235">
      <c r="B235" s="46"/>
    </row>
    <row r="236">
      <c r="B236" s="46"/>
    </row>
    <row r="237">
      <c r="B237" s="46"/>
    </row>
    <row r="238">
      <c r="B238" s="46"/>
    </row>
    <row r="239">
      <c r="B239" s="46"/>
    </row>
    <row r="240">
      <c r="B240" s="46"/>
    </row>
    <row r="241">
      <c r="B241" s="46"/>
    </row>
    <row r="242">
      <c r="B242" s="46"/>
    </row>
    <row r="243">
      <c r="B243" s="46"/>
    </row>
    <row r="244">
      <c r="B244" s="46"/>
    </row>
    <row r="245">
      <c r="B245" s="46"/>
    </row>
    <row r="246">
      <c r="B246" s="46"/>
    </row>
    <row r="247">
      <c r="B247" s="46"/>
    </row>
    <row r="248">
      <c r="B248" s="46"/>
    </row>
    <row r="249">
      <c r="B249" s="46"/>
    </row>
    <row r="250">
      <c r="B250" s="46"/>
    </row>
    <row r="251">
      <c r="B251" s="46"/>
    </row>
    <row r="252">
      <c r="B252" s="46"/>
    </row>
    <row r="253">
      <c r="B253" s="46"/>
    </row>
    <row r="254">
      <c r="B254" s="46"/>
    </row>
    <row r="255">
      <c r="B255" s="46"/>
    </row>
    <row r="256">
      <c r="B256" s="46"/>
    </row>
    <row r="257">
      <c r="B257" s="46"/>
    </row>
    <row r="258">
      <c r="B258" s="46"/>
    </row>
    <row r="259">
      <c r="B259" s="46"/>
    </row>
    <row r="260">
      <c r="B260" s="46"/>
    </row>
    <row r="261">
      <c r="B261" s="46"/>
    </row>
    <row r="262">
      <c r="B262" s="46"/>
    </row>
    <row r="263">
      <c r="B263" s="46"/>
    </row>
    <row r="264">
      <c r="B264" s="46"/>
    </row>
    <row r="265">
      <c r="B265" s="46"/>
    </row>
    <row r="266">
      <c r="B266" s="46"/>
    </row>
    <row r="267">
      <c r="B267" s="46"/>
    </row>
    <row r="268">
      <c r="B268" s="46"/>
    </row>
    <row r="269">
      <c r="B269" s="46"/>
    </row>
    <row r="270">
      <c r="B270" s="46"/>
    </row>
    <row r="271">
      <c r="B271" s="46"/>
    </row>
    <row r="272">
      <c r="B272" s="46"/>
    </row>
    <row r="273">
      <c r="B273" s="46"/>
    </row>
    <row r="274">
      <c r="B274" s="46"/>
    </row>
    <row r="275">
      <c r="B275" s="46"/>
    </row>
    <row r="276">
      <c r="B276" s="46"/>
    </row>
    <row r="277">
      <c r="B277" s="46"/>
    </row>
    <row r="278">
      <c r="B278" s="46"/>
    </row>
    <row r="279">
      <c r="B279" s="46"/>
    </row>
    <row r="280">
      <c r="B280" s="46"/>
    </row>
    <row r="281">
      <c r="B281" s="46"/>
    </row>
    <row r="282">
      <c r="B282" s="46"/>
    </row>
    <row r="283">
      <c r="B283" s="46"/>
    </row>
    <row r="284">
      <c r="B284" s="46"/>
    </row>
    <row r="285">
      <c r="B285" s="46"/>
    </row>
    <row r="286">
      <c r="B286" s="46"/>
    </row>
    <row r="287">
      <c r="B287" s="46"/>
    </row>
    <row r="288">
      <c r="B288" s="46"/>
    </row>
    <row r="289">
      <c r="B289" s="46"/>
    </row>
    <row r="290">
      <c r="B290" s="46"/>
    </row>
    <row r="291">
      <c r="B291" s="46"/>
    </row>
    <row r="292">
      <c r="B292" s="46"/>
    </row>
    <row r="293">
      <c r="B293" s="46"/>
    </row>
    <row r="294">
      <c r="B294" s="46"/>
    </row>
    <row r="295">
      <c r="B295" s="46"/>
    </row>
    <row r="296">
      <c r="B296" s="46"/>
    </row>
    <row r="297">
      <c r="B297" s="46"/>
    </row>
    <row r="298">
      <c r="B298" s="46"/>
    </row>
    <row r="299">
      <c r="B299" s="46"/>
    </row>
    <row r="300">
      <c r="B300" s="46"/>
    </row>
    <row r="301">
      <c r="B301" s="46"/>
    </row>
    <row r="302">
      <c r="B302" s="46"/>
    </row>
    <row r="303">
      <c r="B303" s="46"/>
    </row>
    <row r="304">
      <c r="B304" s="46"/>
    </row>
    <row r="305">
      <c r="B305" s="46"/>
    </row>
    <row r="306">
      <c r="B306" s="46"/>
    </row>
    <row r="307">
      <c r="B307" s="46"/>
    </row>
    <row r="308">
      <c r="B308" s="46"/>
    </row>
    <row r="309">
      <c r="B309" s="46"/>
    </row>
    <row r="310">
      <c r="B310" s="46"/>
    </row>
    <row r="311">
      <c r="B311" s="46"/>
    </row>
    <row r="312">
      <c r="B312" s="46"/>
    </row>
    <row r="313">
      <c r="B313" s="46"/>
    </row>
    <row r="314">
      <c r="B314" s="46"/>
    </row>
    <row r="315">
      <c r="B315" s="46"/>
    </row>
    <row r="316">
      <c r="B316" s="46"/>
    </row>
    <row r="317">
      <c r="B317" s="46"/>
    </row>
    <row r="318">
      <c r="B318" s="46"/>
    </row>
    <row r="319">
      <c r="B319" s="46"/>
    </row>
    <row r="320">
      <c r="B320" s="46"/>
    </row>
    <row r="321">
      <c r="B321" s="46"/>
    </row>
    <row r="322">
      <c r="B322" s="46"/>
    </row>
    <row r="323">
      <c r="B323" s="46"/>
    </row>
    <row r="324">
      <c r="B324" s="46"/>
    </row>
    <row r="325">
      <c r="B325" s="46"/>
    </row>
    <row r="326">
      <c r="B326" s="46"/>
    </row>
    <row r="327">
      <c r="B327" s="46"/>
    </row>
    <row r="328">
      <c r="B328" s="46"/>
    </row>
    <row r="329">
      <c r="B329" s="46"/>
    </row>
    <row r="330">
      <c r="B330" s="46"/>
    </row>
    <row r="331">
      <c r="B331" s="46"/>
    </row>
    <row r="332">
      <c r="B332" s="46"/>
    </row>
    <row r="333">
      <c r="B333" s="46"/>
    </row>
    <row r="334">
      <c r="B334" s="46"/>
    </row>
    <row r="335">
      <c r="B335" s="46"/>
    </row>
    <row r="336">
      <c r="B336" s="46"/>
    </row>
    <row r="337">
      <c r="B337" s="46"/>
    </row>
    <row r="338">
      <c r="B338" s="46"/>
    </row>
    <row r="339">
      <c r="B339" s="46"/>
    </row>
    <row r="340">
      <c r="B340" s="46"/>
    </row>
    <row r="341">
      <c r="B341" s="46"/>
    </row>
    <row r="342">
      <c r="B342" s="46"/>
    </row>
    <row r="343">
      <c r="B343" s="46"/>
    </row>
    <row r="344">
      <c r="B344" s="46"/>
    </row>
    <row r="345">
      <c r="B345" s="46"/>
    </row>
    <row r="346">
      <c r="B346" s="46"/>
    </row>
    <row r="347">
      <c r="B347" s="46"/>
    </row>
    <row r="348">
      <c r="B348" s="46"/>
    </row>
    <row r="349">
      <c r="B349" s="46"/>
    </row>
    <row r="350">
      <c r="B350" s="46"/>
    </row>
    <row r="351">
      <c r="B351" s="46"/>
    </row>
    <row r="352">
      <c r="B352" s="46"/>
    </row>
    <row r="353">
      <c r="B353" s="46"/>
    </row>
    <row r="354">
      <c r="B354" s="46"/>
    </row>
    <row r="355">
      <c r="B355" s="46"/>
    </row>
    <row r="356">
      <c r="B356" s="46"/>
    </row>
    <row r="357">
      <c r="B357" s="46"/>
    </row>
    <row r="358">
      <c r="B358" s="46"/>
    </row>
    <row r="359">
      <c r="B359" s="46"/>
    </row>
    <row r="360">
      <c r="B360" s="46"/>
    </row>
    <row r="361">
      <c r="B361" s="46"/>
    </row>
    <row r="362">
      <c r="B362" s="46"/>
    </row>
    <row r="363">
      <c r="B363" s="46"/>
    </row>
    <row r="364">
      <c r="B364" s="46"/>
    </row>
    <row r="365">
      <c r="B365" s="46"/>
    </row>
    <row r="366">
      <c r="B366" s="46"/>
    </row>
    <row r="367">
      <c r="B367" s="46"/>
    </row>
    <row r="368">
      <c r="B368" s="46"/>
    </row>
    <row r="369">
      <c r="B369" s="46"/>
    </row>
    <row r="370">
      <c r="B370" s="46"/>
    </row>
    <row r="371">
      <c r="B371" s="46"/>
    </row>
    <row r="372">
      <c r="B372" s="46"/>
    </row>
    <row r="373">
      <c r="B373" s="46"/>
    </row>
    <row r="374">
      <c r="B374" s="46"/>
    </row>
    <row r="375">
      <c r="B375" s="46"/>
    </row>
    <row r="376">
      <c r="B376" s="46"/>
    </row>
    <row r="377">
      <c r="B377" s="46"/>
    </row>
    <row r="378">
      <c r="B378" s="46"/>
    </row>
    <row r="379">
      <c r="B379" s="46"/>
    </row>
    <row r="380">
      <c r="B380" s="46"/>
    </row>
    <row r="381">
      <c r="B381" s="46"/>
    </row>
    <row r="382">
      <c r="B382" s="46"/>
    </row>
    <row r="383">
      <c r="B383" s="46"/>
    </row>
    <row r="384">
      <c r="B384" s="46"/>
    </row>
    <row r="385">
      <c r="B385" s="46"/>
    </row>
    <row r="386">
      <c r="B386" s="46"/>
    </row>
    <row r="387">
      <c r="B387" s="46"/>
    </row>
    <row r="388">
      <c r="B388" s="46"/>
    </row>
    <row r="389">
      <c r="B389" s="46"/>
    </row>
    <row r="390">
      <c r="B390" s="46"/>
    </row>
    <row r="391">
      <c r="B391" s="46"/>
    </row>
    <row r="392">
      <c r="B392" s="46"/>
    </row>
    <row r="393">
      <c r="B393" s="46"/>
    </row>
    <row r="394">
      <c r="B394" s="46"/>
    </row>
    <row r="395">
      <c r="B395" s="46"/>
    </row>
    <row r="396">
      <c r="B396" s="46"/>
    </row>
    <row r="397">
      <c r="B397" s="46"/>
    </row>
    <row r="398">
      <c r="B398" s="46"/>
    </row>
    <row r="399">
      <c r="B399" s="46"/>
    </row>
    <row r="400">
      <c r="B400" s="46"/>
    </row>
    <row r="401">
      <c r="B401" s="46"/>
    </row>
    <row r="402">
      <c r="B402" s="46"/>
    </row>
    <row r="403">
      <c r="B403" s="46"/>
    </row>
    <row r="404">
      <c r="B404" s="46"/>
    </row>
    <row r="405">
      <c r="B405" s="46"/>
    </row>
    <row r="406">
      <c r="B406" s="46"/>
    </row>
    <row r="407">
      <c r="B407" s="46"/>
    </row>
    <row r="408">
      <c r="B408" s="46"/>
    </row>
    <row r="409">
      <c r="B409" s="46"/>
    </row>
    <row r="410">
      <c r="B410" s="46"/>
    </row>
    <row r="411">
      <c r="B411" s="46"/>
    </row>
    <row r="412">
      <c r="B412" s="46"/>
    </row>
    <row r="413">
      <c r="B413" s="46"/>
    </row>
    <row r="414">
      <c r="B414" s="46"/>
    </row>
    <row r="415">
      <c r="B415" s="46"/>
    </row>
    <row r="416">
      <c r="B416" s="46"/>
    </row>
    <row r="417">
      <c r="B417" s="46"/>
    </row>
    <row r="418">
      <c r="B418" s="46"/>
    </row>
    <row r="419">
      <c r="B419" s="46"/>
    </row>
    <row r="420">
      <c r="B420" s="46"/>
    </row>
    <row r="421">
      <c r="B421" s="46"/>
    </row>
    <row r="422">
      <c r="B422" s="46"/>
    </row>
    <row r="423">
      <c r="B423" s="46"/>
    </row>
    <row r="424">
      <c r="B424" s="46"/>
    </row>
    <row r="425">
      <c r="B425" s="46"/>
    </row>
    <row r="426">
      <c r="B426" s="46"/>
    </row>
    <row r="427">
      <c r="B427" s="46"/>
    </row>
    <row r="428">
      <c r="B428" s="46"/>
    </row>
    <row r="429">
      <c r="B429" s="46"/>
    </row>
    <row r="430">
      <c r="B430" s="46"/>
    </row>
    <row r="431">
      <c r="B431" s="46"/>
    </row>
    <row r="432">
      <c r="B432" s="46"/>
    </row>
    <row r="433">
      <c r="B433" s="46"/>
    </row>
    <row r="434">
      <c r="B434" s="46"/>
    </row>
    <row r="435">
      <c r="B435" s="46"/>
    </row>
    <row r="436">
      <c r="B436" s="46"/>
    </row>
    <row r="437">
      <c r="B437" s="46"/>
    </row>
    <row r="438">
      <c r="B438" s="46"/>
    </row>
    <row r="439">
      <c r="B439" s="46"/>
    </row>
    <row r="440">
      <c r="B440" s="46"/>
    </row>
    <row r="441">
      <c r="B441" s="46"/>
    </row>
    <row r="442">
      <c r="B442" s="46"/>
    </row>
    <row r="443">
      <c r="B443" s="46"/>
    </row>
    <row r="444">
      <c r="B444" s="46"/>
    </row>
    <row r="445">
      <c r="B445" s="46"/>
    </row>
    <row r="446">
      <c r="B446" s="46"/>
    </row>
    <row r="447">
      <c r="B447" s="46"/>
    </row>
    <row r="448">
      <c r="B448" s="46"/>
    </row>
    <row r="449">
      <c r="B449" s="46"/>
    </row>
    <row r="450">
      <c r="B450" s="46"/>
    </row>
    <row r="451">
      <c r="B451" s="46"/>
    </row>
    <row r="452">
      <c r="B452" s="46"/>
    </row>
    <row r="453">
      <c r="B453" s="46"/>
    </row>
    <row r="454">
      <c r="B454" s="46"/>
    </row>
    <row r="455">
      <c r="B455" s="46"/>
    </row>
    <row r="456">
      <c r="B456" s="46"/>
    </row>
    <row r="457">
      <c r="B457" s="46"/>
    </row>
    <row r="458">
      <c r="B458" s="46"/>
    </row>
    <row r="459">
      <c r="B459" s="46"/>
    </row>
    <row r="460">
      <c r="B460" s="46"/>
    </row>
    <row r="461">
      <c r="B461" s="46"/>
    </row>
    <row r="462">
      <c r="B462" s="46"/>
    </row>
    <row r="463">
      <c r="B463" s="46"/>
    </row>
    <row r="464">
      <c r="B464" s="46"/>
    </row>
    <row r="465">
      <c r="B465" s="46"/>
    </row>
    <row r="466">
      <c r="B466" s="46"/>
    </row>
    <row r="467">
      <c r="B467" s="46"/>
    </row>
    <row r="468">
      <c r="B468" s="46"/>
    </row>
    <row r="469">
      <c r="B469" s="46"/>
    </row>
    <row r="470">
      <c r="B470" s="46"/>
    </row>
    <row r="471">
      <c r="B471" s="46"/>
    </row>
    <row r="472">
      <c r="B472" s="46"/>
    </row>
    <row r="473">
      <c r="B473" s="46"/>
    </row>
    <row r="474">
      <c r="B474" s="46"/>
    </row>
    <row r="475">
      <c r="B475" s="46"/>
    </row>
    <row r="476">
      <c r="B476" s="46"/>
    </row>
    <row r="477">
      <c r="B477" s="46"/>
    </row>
    <row r="478">
      <c r="B478" s="46"/>
    </row>
    <row r="479">
      <c r="B479" s="46"/>
    </row>
    <row r="480">
      <c r="B480" s="46"/>
    </row>
    <row r="481">
      <c r="B481" s="46"/>
    </row>
    <row r="482">
      <c r="B482" s="46"/>
    </row>
    <row r="483">
      <c r="B483" s="46"/>
    </row>
    <row r="484">
      <c r="B484" s="46"/>
    </row>
    <row r="485">
      <c r="B485" s="46"/>
    </row>
    <row r="486">
      <c r="B486" s="46"/>
    </row>
    <row r="487">
      <c r="B487" s="46"/>
    </row>
    <row r="488">
      <c r="B488" s="46"/>
    </row>
    <row r="489">
      <c r="B489" s="46"/>
    </row>
    <row r="490">
      <c r="B490" s="46"/>
    </row>
    <row r="491">
      <c r="B491" s="46"/>
    </row>
    <row r="492">
      <c r="B492" s="46"/>
    </row>
    <row r="493">
      <c r="B493" s="46"/>
    </row>
    <row r="494">
      <c r="B494" s="46"/>
    </row>
    <row r="495">
      <c r="B495" s="46"/>
    </row>
    <row r="496">
      <c r="B496" s="46"/>
    </row>
    <row r="497">
      <c r="B497" s="46"/>
    </row>
    <row r="498">
      <c r="B498" s="46"/>
    </row>
    <row r="499">
      <c r="B499" s="46"/>
    </row>
    <row r="500">
      <c r="B500" s="46"/>
    </row>
    <row r="501">
      <c r="B501" s="46"/>
    </row>
    <row r="502">
      <c r="B502" s="46"/>
    </row>
    <row r="503">
      <c r="B503" s="46"/>
    </row>
    <row r="504">
      <c r="B504" s="46"/>
    </row>
    <row r="505">
      <c r="B505" s="46"/>
    </row>
    <row r="506">
      <c r="B506" s="46"/>
    </row>
    <row r="507">
      <c r="B507" s="46"/>
    </row>
    <row r="508">
      <c r="B508" s="46"/>
    </row>
    <row r="509">
      <c r="B509" s="46"/>
    </row>
    <row r="510">
      <c r="B510" s="46"/>
    </row>
    <row r="511">
      <c r="B511" s="46"/>
    </row>
    <row r="512">
      <c r="B512" s="46"/>
    </row>
    <row r="513">
      <c r="B513" s="46"/>
    </row>
    <row r="514">
      <c r="B514" s="46"/>
    </row>
    <row r="515">
      <c r="B515" s="46"/>
    </row>
    <row r="516">
      <c r="B516" s="46"/>
    </row>
    <row r="517">
      <c r="B517" s="46"/>
    </row>
    <row r="518">
      <c r="B518" s="46"/>
    </row>
    <row r="519">
      <c r="B519" s="46"/>
    </row>
    <row r="520">
      <c r="B520" s="46"/>
    </row>
    <row r="521">
      <c r="B521" s="46"/>
    </row>
    <row r="522">
      <c r="B522" s="46"/>
    </row>
    <row r="523">
      <c r="B523" s="46"/>
    </row>
    <row r="524">
      <c r="B524" s="46"/>
    </row>
    <row r="525">
      <c r="B525" s="46"/>
    </row>
    <row r="526">
      <c r="B526" s="46"/>
    </row>
    <row r="527">
      <c r="B527" s="46"/>
    </row>
    <row r="528">
      <c r="B528" s="46"/>
    </row>
    <row r="529">
      <c r="B529" s="46"/>
    </row>
    <row r="530">
      <c r="B530" s="46"/>
    </row>
    <row r="531">
      <c r="B531" s="46"/>
    </row>
    <row r="532">
      <c r="B532" s="46"/>
    </row>
    <row r="533">
      <c r="B533" s="46"/>
    </row>
    <row r="534">
      <c r="B534" s="46"/>
    </row>
    <row r="535">
      <c r="B535" s="46"/>
    </row>
    <row r="536">
      <c r="B536" s="46"/>
    </row>
    <row r="537">
      <c r="B537" s="46"/>
    </row>
    <row r="538">
      <c r="B538" s="46"/>
    </row>
    <row r="539">
      <c r="B539" s="46"/>
    </row>
    <row r="540">
      <c r="B540" s="46"/>
    </row>
    <row r="541">
      <c r="B541" s="46"/>
    </row>
    <row r="542">
      <c r="B542" s="46"/>
    </row>
    <row r="543">
      <c r="B543" s="46"/>
    </row>
    <row r="544">
      <c r="B544" s="46"/>
    </row>
    <row r="545">
      <c r="B545" s="46"/>
    </row>
    <row r="546">
      <c r="B546" s="46"/>
    </row>
    <row r="547">
      <c r="B547" s="46"/>
    </row>
    <row r="548">
      <c r="B548" s="46"/>
    </row>
    <row r="549">
      <c r="B549" s="46"/>
    </row>
    <row r="550">
      <c r="B550" s="46"/>
    </row>
    <row r="551">
      <c r="B551" s="46"/>
    </row>
    <row r="552">
      <c r="B552" s="46"/>
    </row>
    <row r="553">
      <c r="B553" s="46"/>
    </row>
    <row r="554">
      <c r="B554" s="46"/>
    </row>
    <row r="555">
      <c r="B555" s="46"/>
    </row>
    <row r="556">
      <c r="B556" s="46"/>
    </row>
    <row r="557">
      <c r="B557" s="46"/>
    </row>
    <row r="558">
      <c r="B558" s="46"/>
    </row>
    <row r="559">
      <c r="B559" s="46"/>
    </row>
    <row r="560">
      <c r="B560" s="46"/>
    </row>
    <row r="561">
      <c r="B561" s="46"/>
    </row>
    <row r="562">
      <c r="B562" s="46"/>
    </row>
    <row r="563">
      <c r="B563" s="46"/>
    </row>
    <row r="564">
      <c r="B564" s="46"/>
    </row>
    <row r="565">
      <c r="B565" s="46"/>
    </row>
    <row r="566">
      <c r="B566" s="46"/>
    </row>
    <row r="567">
      <c r="B567" s="46"/>
    </row>
    <row r="568">
      <c r="B568" s="46"/>
    </row>
    <row r="569">
      <c r="B569" s="46"/>
    </row>
    <row r="570">
      <c r="B570" s="46"/>
    </row>
    <row r="571">
      <c r="B571" s="46"/>
    </row>
    <row r="572">
      <c r="B572" s="46"/>
    </row>
    <row r="573">
      <c r="B573" s="46"/>
    </row>
    <row r="574">
      <c r="B574" s="46"/>
    </row>
    <row r="575">
      <c r="B575" s="46"/>
    </row>
    <row r="576">
      <c r="B576" s="46"/>
    </row>
    <row r="577">
      <c r="B577" s="46"/>
    </row>
    <row r="578">
      <c r="B578" s="46"/>
    </row>
    <row r="579">
      <c r="B579" s="46"/>
    </row>
    <row r="580">
      <c r="B580" s="46"/>
    </row>
    <row r="581">
      <c r="B581" s="46"/>
    </row>
    <row r="582">
      <c r="B582" s="46"/>
    </row>
    <row r="583">
      <c r="B583" s="46"/>
    </row>
    <row r="584">
      <c r="B584" s="46"/>
    </row>
    <row r="585">
      <c r="B585" s="46"/>
    </row>
    <row r="586">
      <c r="B586" s="46"/>
    </row>
    <row r="587">
      <c r="B587" s="46"/>
    </row>
    <row r="588">
      <c r="B588" s="46"/>
    </row>
    <row r="589">
      <c r="B589" s="46"/>
    </row>
    <row r="590">
      <c r="B590" s="46"/>
    </row>
    <row r="591">
      <c r="B591" s="46"/>
    </row>
    <row r="592">
      <c r="B592" s="46"/>
    </row>
    <row r="593">
      <c r="B593" s="46"/>
    </row>
    <row r="594">
      <c r="B594" s="46"/>
    </row>
    <row r="595">
      <c r="B595" s="46"/>
    </row>
    <row r="596">
      <c r="B596" s="46"/>
    </row>
    <row r="597">
      <c r="B597" s="46"/>
    </row>
    <row r="598">
      <c r="B598" s="46"/>
    </row>
    <row r="599">
      <c r="B599" s="46"/>
    </row>
    <row r="600">
      <c r="B600" s="46"/>
    </row>
    <row r="601">
      <c r="B601" s="46"/>
    </row>
    <row r="602">
      <c r="B602" s="46"/>
    </row>
    <row r="603">
      <c r="B603" s="46"/>
    </row>
    <row r="604">
      <c r="B604" s="46"/>
    </row>
    <row r="605">
      <c r="B605" s="46"/>
    </row>
    <row r="606">
      <c r="B606" s="46"/>
    </row>
    <row r="607">
      <c r="B607" s="46"/>
    </row>
    <row r="608">
      <c r="B608" s="46"/>
    </row>
    <row r="609">
      <c r="B609" s="46"/>
    </row>
    <row r="610">
      <c r="B610" s="46"/>
    </row>
    <row r="611">
      <c r="B611" s="46"/>
    </row>
    <row r="612">
      <c r="B612" s="46"/>
    </row>
    <row r="613">
      <c r="B613" s="46"/>
    </row>
    <row r="614">
      <c r="B614" s="46"/>
    </row>
    <row r="615">
      <c r="B615" s="46"/>
    </row>
    <row r="616">
      <c r="B616" s="46"/>
    </row>
    <row r="617">
      <c r="B617" s="46"/>
    </row>
    <row r="618">
      <c r="B618" s="46"/>
    </row>
    <row r="619">
      <c r="B619" s="46"/>
    </row>
    <row r="620">
      <c r="B620" s="46"/>
    </row>
    <row r="621">
      <c r="B621" s="46"/>
    </row>
    <row r="622">
      <c r="B622" s="46"/>
    </row>
    <row r="623">
      <c r="B623" s="46"/>
    </row>
    <row r="624">
      <c r="B624" s="46"/>
    </row>
    <row r="625">
      <c r="B625" s="46"/>
    </row>
    <row r="626">
      <c r="B626" s="46"/>
    </row>
    <row r="627">
      <c r="B627" s="46"/>
    </row>
    <row r="628">
      <c r="B628" s="46"/>
    </row>
    <row r="629">
      <c r="B629" s="46"/>
    </row>
    <row r="630">
      <c r="B630" s="46"/>
    </row>
    <row r="631">
      <c r="B631" s="46"/>
    </row>
    <row r="632">
      <c r="B632" s="46"/>
    </row>
    <row r="633">
      <c r="B633" s="46"/>
    </row>
    <row r="634">
      <c r="B634" s="46"/>
    </row>
    <row r="635">
      <c r="B635" s="46"/>
    </row>
    <row r="636">
      <c r="B636" s="46"/>
    </row>
    <row r="637">
      <c r="B637" s="46"/>
    </row>
    <row r="638">
      <c r="B638" s="46"/>
    </row>
    <row r="639">
      <c r="B639" s="46"/>
    </row>
    <row r="640">
      <c r="B640" s="46"/>
    </row>
    <row r="641">
      <c r="B641" s="46"/>
    </row>
    <row r="642">
      <c r="B642" s="46"/>
    </row>
    <row r="643">
      <c r="B643" s="46"/>
    </row>
    <row r="644">
      <c r="B644" s="46"/>
    </row>
    <row r="645">
      <c r="B645" s="46"/>
    </row>
    <row r="646">
      <c r="B646" s="46"/>
    </row>
    <row r="647">
      <c r="B647" s="46"/>
    </row>
    <row r="648">
      <c r="B648" s="46"/>
    </row>
    <row r="649">
      <c r="B649" s="46"/>
    </row>
    <row r="650">
      <c r="B650" s="46"/>
    </row>
    <row r="651">
      <c r="B651" s="46"/>
    </row>
    <row r="652">
      <c r="B652" s="46"/>
    </row>
    <row r="653">
      <c r="B653" s="46"/>
    </row>
    <row r="654">
      <c r="B654" s="46"/>
    </row>
    <row r="655">
      <c r="B655" s="46"/>
    </row>
    <row r="656">
      <c r="B656" s="46"/>
    </row>
    <row r="657">
      <c r="B657" s="46"/>
    </row>
    <row r="658">
      <c r="B658" s="46"/>
    </row>
    <row r="659">
      <c r="B659" s="46"/>
    </row>
    <row r="660">
      <c r="B660" s="46"/>
    </row>
    <row r="661">
      <c r="B661" s="46"/>
    </row>
    <row r="662">
      <c r="B662" s="46"/>
    </row>
    <row r="663">
      <c r="B663" s="46"/>
    </row>
    <row r="664">
      <c r="B664" s="46"/>
    </row>
    <row r="665">
      <c r="B665" s="46"/>
    </row>
    <row r="666">
      <c r="B666" s="46"/>
    </row>
    <row r="667">
      <c r="B667" s="46"/>
    </row>
    <row r="668">
      <c r="B668" s="46"/>
    </row>
    <row r="669">
      <c r="B669" s="46"/>
    </row>
    <row r="670">
      <c r="B670" s="46"/>
    </row>
    <row r="671">
      <c r="B671" s="46"/>
    </row>
    <row r="672">
      <c r="B672" s="46"/>
    </row>
    <row r="673">
      <c r="B673" s="46"/>
    </row>
    <row r="674">
      <c r="B674" s="46"/>
    </row>
    <row r="675">
      <c r="B675" s="46"/>
    </row>
    <row r="676">
      <c r="B676" s="46"/>
    </row>
    <row r="677">
      <c r="B677" s="46"/>
    </row>
    <row r="678">
      <c r="B678" s="46"/>
    </row>
    <row r="679">
      <c r="B679" s="46"/>
    </row>
    <row r="680">
      <c r="B680" s="46"/>
    </row>
    <row r="681">
      <c r="B681" s="46"/>
    </row>
    <row r="682">
      <c r="B682" s="46"/>
    </row>
    <row r="683">
      <c r="B683" s="46"/>
    </row>
    <row r="684">
      <c r="B684" s="46"/>
    </row>
    <row r="685">
      <c r="B685" s="46"/>
    </row>
    <row r="686">
      <c r="B686" s="46"/>
    </row>
    <row r="687">
      <c r="B687" s="46"/>
    </row>
    <row r="688">
      <c r="B688" s="46"/>
    </row>
    <row r="689">
      <c r="B689" s="46"/>
    </row>
    <row r="690">
      <c r="B690" s="46"/>
    </row>
    <row r="691">
      <c r="B691" s="46"/>
    </row>
    <row r="692">
      <c r="B692" s="46"/>
    </row>
    <row r="693">
      <c r="B693" s="46"/>
    </row>
    <row r="694">
      <c r="B694" s="46"/>
    </row>
    <row r="695">
      <c r="B695" s="46"/>
    </row>
    <row r="696">
      <c r="B696" s="46"/>
    </row>
    <row r="697">
      <c r="B697" s="46"/>
    </row>
    <row r="698">
      <c r="B698" s="46"/>
    </row>
    <row r="699">
      <c r="B699" s="46"/>
    </row>
    <row r="700">
      <c r="B700" s="46"/>
    </row>
    <row r="701">
      <c r="B701" s="46"/>
    </row>
    <row r="702">
      <c r="B702" s="46"/>
    </row>
    <row r="703">
      <c r="B703" s="46"/>
    </row>
    <row r="704">
      <c r="B704" s="46"/>
    </row>
    <row r="705">
      <c r="B705" s="46"/>
    </row>
    <row r="706">
      <c r="B706" s="46"/>
    </row>
    <row r="707">
      <c r="B707" s="46"/>
    </row>
    <row r="708">
      <c r="B708" s="46"/>
    </row>
    <row r="709">
      <c r="B709" s="46"/>
    </row>
    <row r="710">
      <c r="B710" s="46"/>
    </row>
    <row r="711">
      <c r="B711" s="46"/>
    </row>
    <row r="712">
      <c r="B712" s="46"/>
    </row>
    <row r="713">
      <c r="B713" s="46"/>
    </row>
    <row r="714">
      <c r="B714" s="46"/>
    </row>
    <row r="715">
      <c r="B715" s="46"/>
    </row>
    <row r="716">
      <c r="B716" s="46"/>
    </row>
    <row r="717">
      <c r="B717" s="46"/>
    </row>
    <row r="718">
      <c r="B718" s="46"/>
    </row>
    <row r="719">
      <c r="B719" s="46"/>
    </row>
    <row r="720">
      <c r="B720" s="46"/>
    </row>
    <row r="721">
      <c r="B721" s="46"/>
    </row>
    <row r="722">
      <c r="B722" s="46"/>
    </row>
    <row r="723">
      <c r="B723" s="46"/>
    </row>
    <row r="724">
      <c r="B724" s="46"/>
    </row>
    <row r="725">
      <c r="B725" s="46"/>
    </row>
    <row r="726">
      <c r="B726" s="46"/>
    </row>
    <row r="727">
      <c r="B727" s="46"/>
    </row>
    <row r="728">
      <c r="B728" s="46"/>
    </row>
    <row r="729">
      <c r="B729" s="46"/>
    </row>
    <row r="730">
      <c r="B730" s="46"/>
    </row>
    <row r="731">
      <c r="B731" s="46"/>
    </row>
    <row r="732">
      <c r="B732" s="46"/>
    </row>
    <row r="733">
      <c r="B733" s="46"/>
    </row>
    <row r="734">
      <c r="B734" s="46"/>
    </row>
    <row r="735">
      <c r="B735" s="46"/>
    </row>
    <row r="736">
      <c r="B736" s="46"/>
    </row>
    <row r="737">
      <c r="B737" s="46"/>
    </row>
    <row r="738">
      <c r="B738" s="46"/>
    </row>
    <row r="739">
      <c r="B739" s="46"/>
    </row>
    <row r="740">
      <c r="B740" s="46"/>
    </row>
    <row r="741">
      <c r="B741" s="46"/>
    </row>
    <row r="742">
      <c r="B742" s="46"/>
    </row>
    <row r="743">
      <c r="B743" s="46"/>
    </row>
    <row r="744">
      <c r="B744" s="46"/>
    </row>
    <row r="745">
      <c r="B745" s="46"/>
    </row>
    <row r="746">
      <c r="B746" s="46"/>
    </row>
    <row r="747">
      <c r="B747" s="46"/>
    </row>
    <row r="748">
      <c r="B748" s="46"/>
    </row>
    <row r="749">
      <c r="B749" s="46"/>
    </row>
    <row r="750">
      <c r="B750" s="46"/>
    </row>
    <row r="751">
      <c r="B751" s="46"/>
    </row>
    <row r="752">
      <c r="B752" s="46"/>
    </row>
    <row r="753">
      <c r="B753" s="46"/>
    </row>
    <row r="754">
      <c r="B754" s="46"/>
    </row>
    <row r="755">
      <c r="B755" s="46"/>
    </row>
    <row r="756">
      <c r="B756" s="46"/>
    </row>
    <row r="757">
      <c r="B757" s="46"/>
    </row>
    <row r="758">
      <c r="B758" s="46"/>
    </row>
    <row r="759">
      <c r="B759" s="46"/>
    </row>
    <row r="760">
      <c r="B760" s="46"/>
    </row>
    <row r="761">
      <c r="B761" s="46"/>
    </row>
    <row r="762">
      <c r="B762" s="46"/>
    </row>
    <row r="763">
      <c r="B763" s="46"/>
    </row>
    <row r="764">
      <c r="B764" s="46"/>
    </row>
    <row r="765">
      <c r="B765" s="46"/>
    </row>
    <row r="766">
      <c r="B766" s="46"/>
    </row>
    <row r="767">
      <c r="B767" s="46"/>
    </row>
    <row r="768">
      <c r="B768" s="46"/>
    </row>
    <row r="769">
      <c r="B769" s="46"/>
    </row>
    <row r="770">
      <c r="B770" s="46"/>
    </row>
    <row r="771">
      <c r="B771" s="46"/>
    </row>
    <row r="772">
      <c r="B772" s="46"/>
    </row>
    <row r="773">
      <c r="B773" s="46"/>
    </row>
    <row r="774">
      <c r="B774" s="46"/>
    </row>
    <row r="775">
      <c r="B775" s="46"/>
    </row>
    <row r="776">
      <c r="B776" s="46"/>
    </row>
    <row r="777">
      <c r="B777" s="46"/>
    </row>
    <row r="778">
      <c r="B778" s="46"/>
    </row>
    <row r="779">
      <c r="B779" s="46"/>
    </row>
    <row r="780">
      <c r="B780" s="46"/>
    </row>
    <row r="781">
      <c r="B781" s="46"/>
    </row>
    <row r="782">
      <c r="B782" s="46"/>
    </row>
    <row r="783">
      <c r="B783" s="46"/>
    </row>
    <row r="784">
      <c r="B784" s="46"/>
    </row>
    <row r="785">
      <c r="B785" s="46"/>
    </row>
    <row r="786">
      <c r="B786" s="46"/>
    </row>
    <row r="787">
      <c r="B787" s="46"/>
    </row>
    <row r="788">
      <c r="B788" s="46"/>
    </row>
    <row r="789">
      <c r="B789" s="46"/>
    </row>
    <row r="790">
      <c r="B790" s="46"/>
    </row>
    <row r="791">
      <c r="B791" s="46"/>
    </row>
    <row r="792">
      <c r="B792" s="46"/>
    </row>
    <row r="793">
      <c r="B793" s="46"/>
    </row>
    <row r="794">
      <c r="B794" s="46"/>
    </row>
    <row r="795">
      <c r="B795" s="46"/>
    </row>
    <row r="796">
      <c r="B796" s="46"/>
    </row>
    <row r="797">
      <c r="B797" s="46"/>
    </row>
    <row r="798">
      <c r="B798" s="46"/>
    </row>
    <row r="799">
      <c r="B799" s="46"/>
    </row>
    <row r="800">
      <c r="B800" s="46"/>
    </row>
    <row r="801">
      <c r="B801" s="46"/>
    </row>
    <row r="802">
      <c r="B802" s="46"/>
    </row>
    <row r="803">
      <c r="B803" s="46"/>
    </row>
    <row r="804">
      <c r="B804" s="46"/>
    </row>
    <row r="805">
      <c r="B805" s="46"/>
    </row>
    <row r="806">
      <c r="B806" s="46"/>
    </row>
    <row r="807">
      <c r="B807" s="46"/>
    </row>
    <row r="808">
      <c r="B808" s="46"/>
    </row>
    <row r="809">
      <c r="B809" s="46"/>
    </row>
    <row r="810">
      <c r="B810" s="46"/>
    </row>
    <row r="811">
      <c r="B811" s="46"/>
    </row>
    <row r="812">
      <c r="B812" s="46"/>
    </row>
    <row r="813">
      <c r="B813" s="46"/>
    </row>
    <row r="814">
      <c r="B814" s="46"/>
    </row>
    <row r="815">
      <c r="B815" s="46"/>
    </row>
    <row r="816">
      <c r="B816" s="46"/>
    </row>
    <row r="817">
      <c r="B817" s="46"/>
    </row>
    <row r="818">
      <c r="B818" s="46"/>
    </row>
    <row r="819">
      <c r="B819" s="46"/>
    </row>
    <row r="820">
      <c r="B820" s="46"/>
    </row>
    <row r="821">
      <c r="B821" s="46"/>
    </row>
    <row r="822">
      <c r="B822" s="46"/>
    </row>
    <row r="823">
      <c r="B823" s="46"/>
    </row>
    <row r="824">
      <c r="B824" s="46"/>
    </row>
    <row r="825">
      <c r="B825" s="46"/>
    </row>
    <row r="826">
      <c r="B826" s="46"/>
    </row>
    <row r="827">
      <c r="B827" s="46"/>
    </row>
    <row r="828">
      <c r="B828" s="46"/>
    </row>
    <row r="829">
      <c r="B829" s="46"/>
    </row>
    <row r="830">
      <c r="B830" s="46"/>
    </row>
    <row r="831">
      <c r="B831" s="46"/>
    </row>
    <row r="832">
      <c r="B832" s="46"/>
    </row>
    <row r="833">
      <c r="B833" s="46"/>
    </row>
    <row r="834">
      <c r="B834" s="46"/>
    </row>
    <row r="835">
      <c r="B835" s="46"/>
    </row>
    <row r="836">
      <c r="B836" s="46"/>
    </row>
    <row r="837">
      <c r="B837" s="46"/>
    </row>
    <row r="838">
      <c r="B838" s="46"/>
    </row>
    <row r="839">
      <c r="B839" s="46"/>
    </row>
    <row r="840">
      <c r="B840" s="46"/>
    </row>
    <row r="841">
      <c r="B841" s="46"/>
    </row>
    <row r="842">
      <c r="B842" s="46"/>
    </row>
    <row r="843">
      <c r="B843" s="46"/>
    </row>
    <row r="844">
      <c r="B844" s="46"/>
    </row>
    <row r="845">
      <c r="B845" s="46"/>
    </row>
    <row r="846">
      <c r="B846" s="46"/>
    </row>
    <row r="847">
      <c r="B847" s="46"/>
    </row>
    <row r="848">
      <c r="B848" s="46"/>
    </row>
    <row r="849">
      <c r="B849" s="46"/>
    </row>
    <row r="850">
      <c r="B850" s="46"/>
    </row>
    <row r="851">
      <c r="B851" s="46"/>
    </row>
    <row r="852">
      <c r="B852" s="46"/>
    </row>
    <row r="853">
      <c r="B853" s="46"/>
    </row>
    <row r="854">
      <c r="B854" s="46"/>
    </row>
    <row r="855">
      <c r="B855" s="46"/>
    </row>
    <row r="856">
      <c r="B856" s="46"/>
    </row>
    <row r="857">
      <c r="B857" s="46"/>
    </row>
    <row r="858">
      <c r="B858" s="46"/>
    </row>
    <row r="859">
      <c r="B859" s="46"/>
    </row>
    <row r="860">
      <c r="B860" s="46"/>
    </row>
    <row r="861">
      <c r="B861" s="46"/>
    </row>
    <row r="862">
      <c r="B862" s="46"/>
    </row>
    <row r="863">
      <c r="B863" s="46"/>
    </row>
    <row r="864">
      <c r="B864" s="46"/>
    </row>
    <row r="865">
      <c r="B865" s="46"/>
    </row>
    <row r="866">
      <c r="B866" s="46"/>
    </row>
    <row r="867">
      <c r="B867" s="46"/>
    </row>
    <row r="868">
      <c r="B868" s="46"/>
    </row>
    <row r="869">
      <c r="B869" s="46"/>
    </row>
    <row r="870">
      <c r="B870" s="46"/>
    </row>
    <row r="871">
      <c r="B871" s="46"/>
    </row>
    <row r="872">
      <c r="B872" s="46"/>
    </row>
    <row r="873">
      <c r="B873" s="46"/>
    </row>
    <row r="874">
      <c r="B874" s="46"/>
    </row>
    <row r="875">
      <c r="B875" s="46"/>
    </row>
    <row r="876">
      <c r="B876" s="46"/>
    </row>
    <row r="877">
      <c r="B877" s="46"/>
    </row>
    <row r="878">
      <c r="B878" s="46"/>
    </row>
    <row r="879">
      <c r="B879" s="46"/>
    </row>
    <row r="880">
      <c r="B880" s="46"/>
    </row>
    <row r="881">
      <c r="B881" s="46"/>
    </row>
    <row r="882">
      <c r="B882" s="46"/>
    </row>
    <row r="883">
      <c r="B883" s="46"/>
    </row>
    <row r="884">
      <c r="B884" s="46"/>
    </row>
    <row r="885">
      <c r="B885" s="46"/>
    </row>
    <row r="886">
      <c r="B886" s="46"/>
    </row>
    <row r="887">
      <c r="B887" s="46"/>
    </row>
    <row r="888">
      <c r="B888" s="46"/>
    </row>
    <row r="889">
      <c r="B889" s="46"/>
    </row>
    <row r="890">
      <c r="B890" s="46"/>
    </row>
    <row r="891">
      <c r="B891" s="46"/>
    </row>
    <row r="892">
      <c r="B892" s="46"/>
    </row>
    <row r="893">
      <c r="B893" s="46"/>
    </row>
    <row r="894">
      <c r="B894" s="46"/>
    </row>
    <row r="895">
      <c r="B895" s="46"/>
    </row>
    <row r="896">
      <c r="B896" s="46"/>
    </row>
    <row r="897">
      <c r="B897" s="46"/>
    </row>
    <row r="898">
      <c r="B898" s="46"/>
    </row>
    <row r="899">
      <c r="B899" s="46"/>
    </row>
    <row r="900">
      <c r="B900" s="46"/>
    </row>
    <row r="901">
      <c r="B901" s="46"/>
    </row>
    <row r="902">
      <c r="B902" s="46"/>
    </row>
    <row r="903">
      <c r="B903" s="46"/>
    </row>
    <row r="904">
      <c r="B904" s="46"/>
    </row>
    <row r="905">
      <c r="B905" s="46"/>
    </row>
    <row r="906">
      <c r="B906" s="46"/>
    </row>
    <row r="907">
      <c r="B907" s="46"/>
    </row>
    <row r="908">
      <c r="B908" s="46"/>
    </row>
    <row r="909">
      <c r="B909" s="46"/>
    </row>
    <row r="910">
      <c r="B910" s="46"/>
    </row>
    <row r="911">
      <c r="B911" s="46"/>
    </row>
    <row r="912">
      <c r="B912" s="46"/>
    </row>
    <row r="913">
      <c r="B913" s="46"/>
    </row>
    <row r="914">
      <c r="B914" s="46"/>
    </row>
    <row r="915">
      <c r="B915" s="46"/>
    </row>
    <row r="916">
      <c r="B916" s="46"/>
    </row>
    <row r="917">
      <c r="B917" s="46"/>
    </row>
    <row r="918">
      <c r="B918" s="46"/>
    </row>
    <row r="919">
      <c r="B919" s="46"/>
    </row>
    <row r="920">
      <c r="B920" s="46"/>
    </row>
    <row r="921">
      <c r="B921" s="46"/>
    </row>
    <row r="922">
      <c r="B922" s="46"/>
    </row>
    <row r="923">
      <c r="B923" s="46"/>
    </row>
    <row r="924">
      <c r="B924" s="46"/>
    </row>
    <row r="925">
      <c r="B925" s="46"/>
    </row>
    <row r="926">
      <c r="B926" s="46"/>
    </row>
    <row r="927">
      <c r="B927" s="46"/>
    </row>
    <row r="928">
      <c r="B928" s="46"/>
    </row>
    <row r="929">
      <c r="B929" s="46"/>
    </row>
    <row r="930">
      <c r="B930" s="46"/>
    </row>
    <row r="931">
      <c r="B931" s="46"/>
    </row>
    <row r="932">
      <c r="B932" s="46"/>
    </row>
    <row r="933">
      <c r="B933" s="46"/>
    </row>
    <row r="934">
      <c r="B934" s="46"/>
    </row>
    <row r="935">
      <c r="B935" s="46"/>
    </row>
    <row r="936">
      <c r="B936" s="46"/>
    </row>
    <row r="937">
      <c r="B937" s="46"/>
    </row>
    <row r="938">
      <c r="B938" s="46"/>
    </row>
    <row r="939">
      <c r="B939" s="46"/>
    </row>
    <row r="940">
      <c r="B940" s="46"/>
    </row>
    <row r="941">
      <c r="B941" s="46"/>
    </row>
    <row r="942">
      <c r="B942" s="46"/>
    </row>
    <row r="943">
      <c r="B943" s="46"/>
    </row>
    <row r="944">
      <c r="B944" s="46"/>
    </row>
    <row r="945">
      <c r="B945" s="46"/>
    </row>
    <row r="946">
      <c r="B946" s="46"/>
    </row>
    <row r="947">
      <c r="B947" s="46"/>
    </row>
    <row r="948">
      <c r="B948" s="46"/>
    </row>
    <row r="949">
      <c r="B949" s="46"/>
    </row>
    <row r="950">
      <c r="B950" s="46"/>
    </row>
    <row r="951">
      <c r="B951" s="46"/>
    </row>
    <row r="952">
      <c r="B952" s="46"/>
    </row>
    <row r="953">
      <c r="B953" s="46"/>
    </row>
    <row r="954">
      <c r="B954" s="46"/>
    </row>
    <row r="955">
      <c r="B955" s="46"/>
    </row>
    <row r="956">
      <c r="B956" s="46"/>
    </row>
    <row r="957">
      <c r="B957" s="46"/>
    </row>
    <row r="958">
      <c r="B958" s="46"/>
    </row>
    <row r="959">
      <c r="B959" s="46"/>
    </row>
    <row r="960">
      <c r="B960" s="46"/>
    </row>
    <row r="961">
      <c r="B961" s="46"/>
    </row>
    <row r="962">
      <c r="B962" s="46"/>
    </row>
    <row r="963">
      <c r="B963" s="46"/>
    </row>
    <row r="964">
      <c r="B964" s="46"/>
    </row>
    <row r="965">
      <c r="B965" s="46"/>
    </row>
    <row r="966">
      <c r="B966" s="46"/>
    </row>
    <row r="967">
      <c r="B967" s="46"/>
    </row>
    <row r="968">
      <c r="B968" s="46"/>
    </row>
    <row r="969">
      <c r="B969" s="46"/>
    </row>
    <row r="970">
      <c r="B970" s="46"/>
    </row>
    <row r="971">
      <c r="B971" s="46"/>
    </row>
    <row r="972">
      <c r="B972" s="46"/>
    </row>
    <row r="973">
      <c r="B973" s="46"/>
    </row>
    <row r="974">
      <c r="B974" s="46"/>
    </row>
    <row r="975">
      <c r="B975" s="46"/>
    </row>
    <row r="976">
      <c r="B976" s="46"/>
    </row>
    <row r="977">
      <c r="B977" s="46"/>
    </row>
    <row r="978">
      <c r="B978" s="46"/>
    </row>
    <row r="979">
      <c r="B979" s="46"/>
    </row>
    <row r="980">
      <c r="B980" s="46"/>
    </row>
    <row r="981">
      <c r="B981" s="46"/>
    </row>
    <row r="982">
      <c r="B982" s="46"/>
    </row>
    <row r="983">
      <c r="B983" s="46"/>
    </row>
    <row r="984">
      <c r="B984" s="46"/>
    </row>
    <row r="985">
      <c r="B985" s="46"/>
    </row>
    <row r="986">
      <c r="B986" s="46"/>
    </row>
    <row r="987">
      <c r="B987" s="46"/>
    </row>
    <row r="988">
      <c r="B988" s="46"/>
    </row>
    <row r="989">
      <c r="B989" s="46"/>
    </row>
    <row r="990">
      <c r="B990" s="46"/>
    </row>
    <row r="991">
      <c r="B991" s="46"/>
    </row>
    <row r="992">
      <c r="B992" s="46"/>
    </row>
    <row r="993">
      <c r="B993" s="46"/>
    </row>
    <row r="994">
      <c r="B994" s="46"/>
    </row>
    <row r="995">
      <c r="B995" s="46"/>
    </row>
    <row r="996">
      <c r="B996" s="46"/>
    </row>
    <row r="997">
      <c r="B997" s="46"/>
    </row>
    <row r="998">
      <c r="B998" s="46"/>
    </row>
    <row r="999">
      <c r="B999" s="46"/>
    </row>
    <row r="1000">
      <c r="B1000" s="46"/>
    </row>
    <row r="1001">
      <c r="B1001" s="4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133</v>
      </c>
      <c r="B1" s="38" t="s">
        <v>416</v>
      </c>
    </row>
    <row r="2">
      <c r="A2" s="38" t="s">
        <v>144</v>
      </c>
      <c r="B2" s="109">
        <v>1300.0</v>
      </c>
    </row>
    <row r="3">
      <c r="A3" s="38" t="s">
        <v>141</v>
      </c>
      <c r="B3" s="109">
        <v>2200.0</v>
      </c>
    </row>
    <row r="4">
      <c r="A4" s="38" t="s">
        <v>145</v>
      </c>
      <c r="B4" s="109">
        <v>2600.0</v>
      </c>
    </row>
    <row r="5">
      <c r="A5" s="38" t="s">
        <v>146</v>
      </c>
      <c r="B5" s="109">
        <v>3000.0</v>
      </c>
    </row>
    <row r="6">
      <c r="A6" s="38" t="s">
        <v>357</v>
      </c>
      <c r="B6" s="109">
        <v>3750.0</v>
      </c>
    </row>
    <row r="7">
      <c r="A7" s="38" t="s">
        <v>358</v>
      </c>
      <c r="B7" s="109">
        <v>4500.0</v>
      </c>
    </row>
    <row r="8">
      <c r="A8" s="38" t="s">
        <v>38</v>
      </c>
      <c r="B8" s="109">
        <v>600.0</v>
      </c>
    </row>
    <row r="9">
      <c r="A9" s="38" t="s">
        <v>43</v>
      </c>
      <c r="B9" s="109">
        <v>600.0</v>
      </c>
    </row>
    <row r="10">
      <c r="A10" s="38" t="s">
        <v>48</v>
      </c>
      <c r="B10" s="109">
        <v>650.0</v>
      </c>
    </row>
    <row r="11">
      <c r="A11" s="38" t="s">
        <v>53</v>
      </c>
      <c r="B11" s="109">
        <v>650.0</v>
      </c>
    </row>
    <row r="12">
      <c r="A12" s="38" t="s">
        <v>58</v>
      </c>
      <c r="B12" s="109">
        <v>650.0</v>
      </c>
    </row>
    <row r="13">
      <c r="A13" s="38" t="s">
        <v>63</v>
      </c>
      <c r="B13" s="109">
        <v>800.0</v>
      </c>
    </row>
    <row r="14">
      <c r="A14" s="38" t="s">
        <v>68</v>
      </c>
      <c r="B14" s="109">
        <v>800.0</v>
      </c>
    </row>
    <row r="15">
      <c r="A15" s="38" t="s">
        <v>72</v>
      </c>
      <c r="B15" s="109">
        <v>800.0</v>
      </c>
    </row>
    <row r="16">
      <c r="A16" s="38" t="s">
        <v>75</v>
      </c>
      <c r="B16" s="109">
        <v>800.0</v>
      </c>
    </row>
    <row r="17">
      <c r="A17" s="38" t="s">
        <v>78</v>
      </c>
      <c r="B17" s="109">
        <v>1000.0</v>
      </c>
    </row>
    <row r="18">
      <c r="A18" s="38" t="s">
        <v>39</v>
      </c>
      <c r="B18" s="109">
        <v>2800.0</v>
      </c>
    </row>
    <row r="19">
      <c r="A19" s="38" t="s">
        <v>44</v>
      </c>
      <c r="B19" s="109">
        <v>3300.0</v>
      </c>
    </row>
    <row r="20">
      <c r="A20" s="38" t="s">
        <v>49</v>
      </c>
      <c r="B20" s="109">
        <v>3600.0</v>
      </c>
    </row>
    <row r="21">
      <c r="A21" s="38" t="s">
        <v>54</v>
      </c>
      <c r="B21" s="109">
        <v>4000.0</v>
      </c>
    </row>
    <row r="22">
      <c r="A22" s="38" t="s">
        <v>59</v>
      </c>
      <c r="B22" s="109">
        <v>4700.0</v>
      </c>
    </row>
    <row r="23">
      <c r="A23" s="38" t="s">
        <v>64</v>
      </c>
      <c r="B23" s="109">
        <v>5500.0</v>
      </c>
    </row>
    <row r="24">
      <c r="A24" s="38" t="s">
        <v>69</v>
      </c>
      <c r="B24" s="109">
        <v>6000.0</v>
      </c>
    </row>
    <row r="25">
      <c r="A25" s="38" t="s">
        <v>155</v>
      </c>
      <c r="B25" s="109">
        <v>1500.0</v>
      </c>
    </row>
    <row r="26">
      <c r="A26" s="38" t="s">
        <v>417</v>
      </c>
      <c r="B26" s="109">
        <v>3000.0</v>
      </c>
    </row>
    <row r="27">
      <c r="A27" s="38" t="s">
        <v>153</v>
      </c>
      <c r="B27" s="109">
        <v>4000.0</v>
      </c>
    </row>
    <row r="28">
      <c r="A28" s="38" t="s">
        <v>154</v>
      </c>
      <c r="B28" s="109">
        <v>2200.0</v>
      </c>
    </row>
    <row r="29">
      <c r="A29" s="38" t="s">
        <v>149</v>
      </c>
      <c r="B29" s="109">
        <v>5000.0</v>
      </c>
    </row>
    <row r="30">
      <c r="A30" s="38" t="s">
        <v>150</v>
      </c>
      <c r="B30" s="109">
        <v>7000.0</v>
      </c>
    </row>
    <row r="31">
      <c r="A31" s="38" t="s">
        <v>152</v>
      </c>
      <c r="B31" s="109">
        <v>2000.0</v>
      </c>
    </row>
    <row r="32">
      <c r="A32" s="38" t="s">
        <v>418</v>
      </c>
      <c r="B32" s="109">
        <v>800.0</v>
      </c>
    </row>
    <row r="33">
      <c r="A33" s="38" t="s">
        <v>419</v>
      </c>
      <c r="B33" s="109">
        <v>1600.0</v>
      </c>
    </row>
    <row r="34">
      <c r="A34" s="38" t="s">
        <v>420</v>
      </c>
      <c r="B34" s="109">
        <v>2400.0</v>
      </c>
    </row>
    <row r="35">
      <c r="A35" s="38" t="s">
        <v>421</v>
      </c>
      <c r="B35" s="109">
        <v>3600.0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422</v>
      </c>
      <c r="B1" s="108" t="s">
        <v>98</v>
      </c>
    </row>
    <row r="2">
      <c r="A2" s="38" t="s">
        <v>383</v>
      </c>
      <c r="B2" s="108">
        <v>225.0</v>
      </c>
    </row>
    <row r="3">
      <c r="A3" s="38" t="s">
        <v>384</v>
      </c>
      <c r="B3" s="108">
        <v>225.0</v>
      </c>
    </row>
    <row r="4">
      <c r="A4" s="38" t="s">
        <v>386</v>
      </c>
      <c r="B4" s="108">
        <v>200.0</v>
      </c>
    </row>
    <row r="5">
      <c r="A5" s="38" t="s">
        <v>387</v>
      </c>
      <c r="B5" s="108">
        <v>200.0</v>
      </c>
    </row>
    <row r="6">
      <c r="A6" s="38" t="s">
        <v>186</v>
      </c>
      <c r="B6" s="108">
        <v>325.0</v>
      </c>
    </row>
    <row r="7">
      <c r="A7" s="38" t="s">
        <v>205</v>
      </c>
      <c r="B7" s="108">
        <v>325.0</v>
      </c>
    </row>
    <row r="8">
      <c r="A8" s="38" t="s">
        <v>228</v>
      </c>
      <c r="B8" s="108">
        <v>525.0</v>
      </c>
    </row>
    <row r="9">
      <c r="A9" s="38" t="s">
        <v>230</v>
      </c>
      <c r="B9" s="108">
        <v>525.0</v>
      </c>
    </row>
    <row r="10">
      <c r="B10" s="46"/>
    </row>
    <row r="11">
      <c r="B11" s="46"/>
    </row>
    <row r="12">
      <c r="B12" s="46"/>
    </row>
    <row r="13">
      <c r="B13" s="46"/>
    </row>
    <row r="14">
      <c r="B14" s="46"/>
    </row>
    <row r="15">
      <c r="B15" s="46"/>
    </row>
    <row r="16">
      <c r="B16" s="46"/>
    </row>
    <row r="17">
      <c r="B17" s="46"/>
    </row>
    <row r="18">
      <c r="B18" s="46"/>
    </row>
    <row r="19">
      <c r="B19" s="46"/>
    </row>
    <row r="20">
      <c r="B20" s="46"/>
    </row>
    <row r="21">
      <c r="B21" s="46"/>
    </row>
    <row r="22">
      <c r="B22" s="46"/>
    </row>
    <row r="23">
      <c r="B23" s="46"/>
    </row>
    <row r="24">
      <c r="B24" s="46"/>
    </row>
    <row r="25">
      <c r="B25" s="46"/>
    </row>
    <row r="26">
      <c r="B26" s="46"/>
    </row>
    <row r="27">
      <c r="B27" s="46"/>
    </row>
    <row r="28">
      <c r="B28" s="46"/>
    </row>
    <row r="29">
      <c r="B29" s="46"/>
    </row>
    <row r="30">
      <c r="B30" s="46"/>
    </row>
    <row r="31">
      <c r="B31" s="46"/>
    </row>
    <row r="32">
      <c r="B32" s="46"/>
    </row>
    <row r="33">
      <c r="B33" s="46"/>
    </row>
    <row r="34">
      <c r="B34" s="46"/>
    </row>
    <row r="35">
      <c r="B35" s="46"/>
    </row>
    <row r="36">
      <c r="B36" s="46"/>
    </row>
    <row r="37">
      <c r="B37" s="46"/>
    </row>
    <row r="38">
      <c r="B38" s="46"/>
    </row>
    <row r="39">
      <c r="B39" s="46"/>
    </row>
    <row r="40">
      <c r="B40" s="46"/>
    </row>
    <row r="41">
      <c r="B41" s="46"/>
    </row>
    <row r="42">
      <c r="B42" s="46"/>
    </row>
    <row r="43">
      <c r="B43" s="46"/>
    </row>
    <row r="44">
      <c r="B44" s="46"/>
    </row>
    <row r="45">
      <c r="B45" s="46"/>
    </row>
    <row r="46">
      <c r="B46" s="46"/>
    </row>
    <row r="47">
      <c r="B47" s="46"/>
    </row>
    <row r="48">
      <c r="B48" s="46"/>
    </row>
    <row r="49">
      <c r="B49" s="46"/>
    </row>
    <row r="50">
      <c r="B50" s="46"/>
    </row>
    <row r="51">
      <c r="B51" s="46"/>
    </row>
    <row r="52">
      <c r="B52" s="46"/>
    </row>
    <row r="53">
      <c r="B53" s="46"/>
    </row>
    <row r="54">
      <c r="B54" s="46"/>
    </row>
    <row r="55">
      <c r="B55" s="46"/>
    </row>
    <row r="56">
      <c r="B56" s="46"/>
    </row>
    <row r="57">
      <c r="B57" s="46"/>
    </row>
    <row r="58">
      <c r="B58" s="46"/>
    </row>
    <row r="59">
      <c r="B59" s="46"/>
    </row>
    <row r="60">
      <c r="B60" s="46"/>
    </row>
    <row r="61">
      <c r="B61" s="46"/>
    </row>
    <row r="62">
      <c r="B62" s="46"/>
    </row>
    <row r="63">
      <c r="B63" s="46"/>
    </row>
    <row r="64">
      <c r="B64" s="46"/>
    </row>
    <row r="65">
      <c r="B65" s="46"/>
    </row>
    <row r="66">
      <c r="B66" s="46"/>
    </row>
    <row r="67">
      <c r="B67" s="46"/>
    </row>
    <row r="68">
      <c r="B68" s="46"/>
    </row>
    <row r="69">
      <c r="B69" s="46"/>
    </row>
    <row r="70">
      <c r="B70" s="46"/>
    </row>
    <row r="71">
      <c r="B71" s="46"/>
    </row>
    <row r="72">
      <c r="B72" s="46"/>
    </row>
    <row r="73">
      <c r="B73" s="46"/>
    </row>
    <row r="74">
      <c r="B74" s="46"/>
    </row>
    <row r="75">
      <c r="B75" s="46"/>
    </row>
    <row r="76">
      <c r="B76" s="46"/>
    </row>
    <row r="77">
      <c r="B77" s="46"/>
    </row>
    <row r="78">
      <c r="B78" s="46"/>
    </row>
    <row r="79">
      <c r="B79" s="46"/>
    </row>
    <row r="80">
      <c r="B80" s="46"/>
    </row>
    <row r="81">
      <c r="B81" s="46"/>
    </row>
    <row r="82">
      <c r="B82" s="46"/>
    </row>
    <row r="83">
      <c r="B83" s="46"/>
    </row>
    <row r="84">
      <c r="B84" s="46"/>
    </row>
    <row r="85">
      <c r="B85" s="46"/>
    </row>
    <row r="86">
      <c r="B86" s="46"/>
    </row>
    <row r="87">
      <c r="B87" s="46"/>
    </row>
    <row r="88">
      <c r="B88" s="46"/>
    </row>
    <row r="89">
      <c r="B89" s="46"/>
    </row>
    <row r="90">
      <c r="B90" s="46"/>
    </row>
    <row r="91">
      <c r="B91" s="46"/>
    </row>
    <row r="92">
      <c r="B92" s="46"/>
    </row>
    <row r="93">
      <c r="B93" s="46"/>
    </row>
    <row r="94">
      <c r="B94" s="46"/>
    </row>
    <row r="95">
      <c r="B95" s="46"/>
    </row>
    <row r="96">
      <c r="B96" s="46"/>
    </row>
    <row r="97">
      <c r="B97" s="46"/>
    </row>
    <row r="98">
      <c r="B98" s="46"/>
    </row>
    <row r="99">
      <c r="B99" s="46"/>
    </row>
    <row r="100">
      <c r="B100" s="46"/>
    </row>
    <row r="101">
      <c r="B101" s="46"/>
    </row>
    <row r="102">
      <c r="B102" s="46"/>
    </row>
    <row r="103">
      <c r="B103" s="46"/>
    </row>
    <row r="104">
      <c r="B104" s="46"/>
    </row>
    <row r="105">
      <c r="B105" s="46"/>
    </row>
    <row r="106">
      <c r="B106" s="46"/>
    </row>
    <row r="107">
      <c r="B107" s="46"/>
    </row>
    <row r="108">
      <c r="B108" s="46"/>
    </row>
    <row r="109">
      <c r="B109" s="46"/>
    </row>
    <row r="110">
      <c r="B110" s="46"/>
    </row>
    <row r="111">
      <c r="B111" s="46"/>
    </row>
    <row r="112">
      <c r="B112" s="46"/>
    </row>
    <row r="113">
      <c r="B113" s="46"/>
    </row>
    <row r="114">
      <c r="B114" s="46"/>
    </row>
    <row r="115">
      <c r="B115" s="46"/>
    </row>
    <row r="116">
      <c r="B116" s="46"/>
    </row>
    <row r="117">
      <c r="B117" s="46"/>
    </row>
    <row r="118">
      <c r="B118" s="46"/>
    </row>
    <row r="119">
      <c r="B119" s="46"/>
    </row>
    <row r="120">
      <c r="B120" s="46"/>
    </row>
    <row r="121">
      <c r="B121" s="46"/>
    </row>
    <row r="122">
      <c r="B122" s="46"/>
    </row>
    <row r="123">
      <c r="B123" s="46"/>
    </row>
    <row r="124">
      <c r="B124" s="46"/>
    </row>
    <row r="125">
      <c r="B125" s="46"/>
    </row>
    <row r="126">
      <c r="B126" s="46"/>
    </row>
    <row r="127">
      <c r="B127" s="46"/>
    </row>
    <row r="128">
      <c r="B128" s="46"/>
    </row>
    <row r="129">
      <c r="B129" s="46"/>
    </row>
    <row r="130">
      <c r="B130" s="46"/>
    </row>
    <row r="131">
      <c r="B131" s="46"/>
    </row>
    <row r="132">
      <c r="B132" s="46"/>
    </row>
    <row r="133">
      <c r="B133" s="46"/>
    </row>
    <row r="134">
      <c r="B134" s="46"/>
    </row>
    <row r="135">
      <c r="B135" s="46"/>
    </row>
    <row r="136">
      <c r="B136" s="46"/>
    </row>
    <row r="137">
      <c r="B137" s="46"/>
    </row>
    <row r="138">
      <c r="B138" s="46"/>
    </row>
    <row r="139">
      <c r="B139" s="46"/>
    </row>
    <row r="140">
      <c r="B140" s="46"/>
    </row>
    <row r="141">
      <c r="B141" s="46"/>
    </row>
    <row r="142">
      <c r="B142" s="46"/>
    </row>
    <row r="143">
      <c r="B143" s="46"/>
    </row>
    <row r="144">
      <c r="B144" s="46"/>
    </row>
    <row r="145">
      <c r="B145" s="46"/>
    </row>
    <row r="146">
      <c r="B146" s="46"/>
    </row>
    <row r="147">
      <c r="B147" s="46"/>
    </row>
    <row r="148">
      <c r="B148" s="46"/>
    </row>
    <row r="149">
      <c r="B149" s="46"/>
    </row>
    <row r="150">
      <c r="B150" s="46"/>
    </row>
    <row r="151">
      <c r="B151" s="46"/>
    </row>
    <row r="152">
      <c r="B152" s="46"/>
    </row>
    <row r="153">
      <c r="B153" s="46"/>
    </row>
    <row r="154">
      <c r="B154" s="46"/>
    </row>
    <row r="155">
      <c r="B155" s="46"/>
    </row>
    <row r="156">
      <c r="B156" s="46"/>
    </row>
    <row r="157">
      <c r="B157" s="46"/>
    </row>
    <row r="158">
      <c r="B158" s="46"/>
    </row>
    <row r="159">
      <c r="B159" s="46"/>
    </row>
    <row r="160">
      <c r="B160" s="46"/>
    </row>
    <row r="161">
      <c r="B161" s="46"/>
    </row>
    <row r="162">
      <c r="B162" s="46"/>
    </row>
    <row r="163">
      <c r="B163" s="46"/>
    </row>
    <row r="164">
      <c r="B164" s="46"/>
    </row>
    <row r="165">
      <c r="B165" s="46"/>
    </row>
    <row r="166">
      <c r="B166" s="46"/>
    </row>
    <row r="167">
      <c r="B167" s="46"/>
    </row>
    <row r="168">
      <c r="B168" s="46"/>
    </row>
    <row r="169">
      <c r="B169" s="46"/>
    </row>
    <row r="170">
      <c r="B170" s="46"/>
    </row>
    <row r="171">
      <c r="B171" s="46"/>
    </row>
    <row r="172">
      <c r="B172" s="46"/>
    </row>
    <row r="173">
      <c r="B173" s="46"/>
    </row>
    <row r="174">
      <c r="B174" s="46"/>
    </row>
    <row r="175">
      <c r="B175" s="46"/>
    </row>
    <row r="176">
      <c r="B176" s="46"/>
    </row>
    <row r="177">
      <c r="B177" s="46"/>
    </row>
    <row r="178">
      <c r="B178" s="46"/>
    </row>
    <row r="179">
      <c r="B179" s="46"/>
    </row>
    <row r="180">
      <c r="B180" s="46"/>
    </row>
    <row r="181">
      <c r="B181" s="46"/>
    </row>
    <row r="182">
      <c r="B182" s="46"/>
    </row>
    <row r="183">
      <c r="B183" s="46"/>
    </row>
    <row r="184">
      <c r="B184" s="46"/>
    </row>
    <row r="185">
      <c r="B185" s="46"/>
    </row>
    <row r="186">
      <c r="B186" s="46"/>
    </row>
    <row r="187">
      <c r="B187" s="46"/>
    </row>
    <row r="188">
      <c r="B188" s="46"/>
    </row>
    <row r="189">
      <c r="B189" s="46"/>
    </row>
    <row r="190">
      <c r="B190" s="46"/>
    </row>
    <row r="191">
      <c r="B191" s="46"/>
    </row>
    <row r="192">
      <c r="B192" s="46"/>
    </row>
    <row r="193">
      <c r="B193" s="46"/>
    </row>
    <row r="194">
      <c r="B194" s="46"/>
    </row>
    <row r="195">
      <c r="B195" s="46"/>
    </row>
    <row r="196">
      <c r="B196" s="46"/>
    </row>
    <row r="197">
      <c r="B197" s="46"/>
    </row>
    <row r="198">
      <c r="B198" s="46"/>
    </row>
    <row r="199">
      <c r="B199" s="46"/>
    </row>
    <row r="200">
      <c r="B200" s="46"/>
    </row>
    <row r="201">
      <c r="B201" s="46"/>
    </row>
    <row r="202">
      <c r="B202" s="46"/>
    </row>
    <row r="203">
      <c r="B203" s="46"/>
    </row>
    <row r="204">
      <c r="B204" s="46"/>
    </row>
    <row r="205">
      <c r="B205" s="46"/>
    </row>
    <row r="206">
      <c r="B206" s="46"/>
    </row>
    <row r="207">
      <c r="B207" s="46"/>
    </row>
    <row r="208">
      <c r="B208" s="46"/>
    </row>
    <row r="209">
      <c r="B209" s="46"/>
    </row>
    <row r="210">
      <c r="B210" s="46"/>
    </row>
    <row r="211">
      <c r="B211" s="46"/>
    </row>
    <row r="212">
      <c r="B212" s="46"/>
    </row>
    <row r="213">
      <c r="B213" s="46"/>
    </row>
    <row r="214">
      <c r="B214" s="46"/>
    </row>
    <row r="215">
      <c r="B215" s="46"/>
    </row>
    <row r="216">
      <c r="B216" s="46"/>
    </row>
    <row r="217">
      <c r="B217" s="46"/>
    </row>
    <row r="218">
      <c r="B218" s="46"/>
    </row>
    <row r="219">
      <c r="B219" s="46"/>
    </row>
    <row r="220">
      <c r="B220" s="46"/>
    </row>
    <row r="221">
      <c r="B221" s="46"/>
    </row>
    <row r="222">
      <c r="B222" s="46"/>
    </row>
    <row r="223">
      <c r="B223" s="46"/>
    </row>
    <row r="224">
      <c r="B224" s="46"/>
    </row>
    <row r="225">
      <c r="B225" s="46"/>
    </row>
    <row r="226">
      <c r="B226" s="46"/>
    </row>
    <row r="227">
      <c r="B227" s="46"/>
    </row>
    <row r="228">
      <c r="B228" s="46"/>
    </row>
    <row r="229">
      <c r="B229" s="46"/>
    </row>
    <row r="230">
      <c r="B230" s="46"/>
    </row>
    <row r="231">
      <c r="B231" s="46"/>
    </row>
    <row r="232">
      <c r="B232" s="46"/>
    </row>
    <row r="233">
      <c r="B233" s="46"/>
    </row>
    <row r="234">
      <c r="B234" s="46"/>
    </row>
    <row r="235">
      <c r="B235" s="46"/>
    </row>
    <row r="236">
      <c r="B236" s="46"/>
    </row>
    <row r="237">
      <c r="B237" s="46"/>
    </row>
    <row r="238">
      <c r="B238" s="46"/>
    </row>
    <row r="239">
      <c r="B239" s="46"/>
    </row>
    <row r="240">
      <c r="B240" s="46"/>
    </row>
    <row r="241">
      <c r="B241" s="46"/>
    </row>
    <row r="242">
      <c r="B242" s="46"/>
    </row>
    <row r="243">
      <c r="B243" s="46"/>
    </row>
    <row r="244">
      <c r="B244" s="46"/>
    </row>
    <row r="245">
      <c r="B245" s="46"/>
    </row>
    <row r="246">
      <c r="B246" s="46"/>
    </row>
    <row r="247">
      <c r="B247" s="46"/>
    </row>
    <row r="248">
      <c r="B248" s="46"/>
    </row>
    <row r="249">
      <c r="B249" s="46"/>
    </row>
    <row r="250">
      <c r="B250" s="46"/>
    </row>
    <row r="251">
      <c r="B251" s="46"/>
    </row>
    <row r="252">
      <c r="B252" s="46"/>
    </row>
    <row r="253">
      <c r="B253" s="46"/>
    </row>
    <row r="254">
      <c r="B254" s="46"/>
    </row>
    <row r="255">
      <c r="B255" s="46"/>
    </row>
    <row r="256">
      <c r="B256" s="46"/>
    </row>
    <row r="257">
      <c r="B257" s="46"/>
    </row>
    <row r="258">
      <c r="B258" s="46"/>
    </row>
    <row r="259">
      <c r="B259" s="46"/>
    </row>
    <row r="260">
      <c r="B260" s="46"/>
    </row>
    <row r="261">
      <c r="B261" s="46"/>
    </row>
    <row r="262">
      <c r="B262" s="46"/>
    </row>
    <row r="263">
      <c r="B263" s="46"/>
    </row>
    <row r="264">
      <c r="B264" s="46"/>
    </row>
    <row r="265">
      <c r="B265" s="46"/>
    </row>
    <row r="266">
      <c r="B266" s="46"/>
    </row>
    <row r="267">
      <c r="B267" s="46"/>
    </row>
    <row r="268">
      <c r="B268" s="46"/>
    </row>
    <row r="269">
      <c r="B269" s="46"/>
    </row>
    <row r="270">
      <c r="B270" s="46"/>
    </row>
    <row r="271">
      <c r="B271" s="46"/>
    </row>
    <row r="272">
      <c r="B272" s="46"/>
    </row>
    <row r="273">
      <c r="B273" s="46"/>
    </row>
    <row r="274">
      <c r="B274" s="46"/>
    </row>
    <row r="275">
      <c r="B275" s="46"/>
    </row>
    <row r="276">
      <c r="B276" s="46"/>
    </row>
    <row r="277">
      <c r="B277" s="46"/>
    </row>
    <row r="278">
      <c r="B278" s="46"/>
    </row>
    <row r="279">
      <c r="B279" s="46"/>
    </row>
    <row r="280">
      <c r="B280" s="46"/>
    </row>
    <row r="281">
      <c r="B281" s="46"/>
    </row>
    <row r="282">
      <c r="B282" s="46"/>
    </row>
    <row r="283">
      <c r="B283" s="46"/>
    </row>
    <row r="284">
      <c r="B284" s="46"/>
    </row>
    <row r="285">
      <c r="B285" s="46"/>
    </row>
    <row r="286">
      <c r="B286" s="46"/>
    </row>
    <row r="287">
      <c r="B287" s="46"/>
    </row>
    <row r="288">
      <c r="B288" s="46"/>
    </row>
    <row r="289">
      <c r="B289" s="46"/>
    </row>
    <row r="290">
      <c r="B290" s="46"/>
    </row>
    <row r="291">
      <c r="B291" s="46"/>
    </row>
    <row r="292">
      <c r="B292" s="46"/>
    </row>
    <row r="293">
      <c r="B293" s="46"/>
    </row>
    <row r="294">
      <c r="B294" s="46"/>
    </row>
    <row r="295">
      <c r="B295" s="46"/>
    </row>
    <row r="296">
      <c r="B296" s="46"/>
    </row>
    <row r="297">
      <c r="B297" s="46"/>
    </row>
    <row r="298">
      <c r="B298" s="46"/>
    </row>
    <row r="299">
      <c r="B299" s="46"/>
    </row>
    <row r="300">
      <c r="B300" s="46"/>
    </row>
    <row r="301">
      <c r="B301" s="46"/>
    </row>
    <row r="302">
      <c r="B302" s="46"/>
    </row>
    <row r="303">
      <c r="B303" s="46"/>
    </row>
    <row r="304">
      <c r="B304" s="46"/>
    </row>
    <row r="305">
      <c r="B305" s="46"/>
    </row>
    <row r="306">
      <c r="B306" s="46"/>
    </row>
    <row r="307">
      <c r="B307" s="46"/>
    </row>
    <row r="308">
      <c r="B308" s="46"/>
    </row>
    <row r="309">
      <c r="B309" s="46"/>
    </row>
    <row r="310">
      <c r="B310" s="46"/>
    </row>
    <row r="311">
      <c r="B311" s="46"/>
    </row>
    <row r="312">
      <c r="B312" s="46"/>
    </row>
    <row r="313">
      <c r="B313" s="46"/>
    </row>
    <row r="314">
      <c r="B314" s="46"/>
    </row>
    <row r="315">
      <c r="B315" s="46"/>
    </row>
    <row r="316">
      <c r="B316" s="46"/>
    </row>
    <row r="317">
      <c r="B317" s="46"/>
    </row>
    <row r="318">
      <c r="B318" s="46"/>
    </row>
    <row r="319">
      <c r="B319" s="46"/>
    </row>
    <row r="320">
      <c r="B320" s="46"/>
    </row>
    <row r="321">
      <c r="B321" s="46"/>
    </row>
    <row r="322">
      <c r="B322" s="46"/>
    </row>
    <row r="323">
      <c r="B323" s="46"/>
    </row>
    <row r="324">
      <c r="B324" s="46"/>
    </row>
    <row r="325">
      <c r="B325" s="46"/>
    </row>
    <row r="326">
      <c r="B326" s="46"/>
    </row>
    <row r="327">
      <c r="B327" s="46"/>
    </row>
    <row r="328">
      <c r="B328" s="46"/>
    </row>
    <row r="329">
      <c r="B329" s="46"/>
    </row>
    <row r="330">
      <c r="B330" s="46"/>
    </row>
    <row r="331">
      <c r="B331" s="46"/>
    </row>
    <row r="332">
      <c r="B332" s="46"/>
    </row>
    <row r="333">
      <c r="B333" s="46"/>
    </row>
    <row r="334">
      <c r="B334" s="46"/>
    </row>
    <row r="335">
      <c r="B335" s="46"/>
    </row>
    <row r="336">
      <c r="B336" s="46"/>
    </row>
    <row r="337">
      <c r="B337" s="46"/>
    </row>
    <row r="338">
      <c r="B338" s="46"/>
    </row>
    <row r="339">
      <c r="B339" s="46"/>
    </row>
    <row r="340">
      <c r="B340" s="46"/>
    </row>
    <row r="341">
      <c r="B341" s="46"/>
    </row>
    <row r="342">
      <c r="B342" s="46"/>
    </row>
    <row r="343">
      <c r="B343" s="46"/>
    </row>
    <row r="344">
      <c r="B344" s="46"/>
    </row>
    <row r="345">
      <c r="B345" s="46"/>
    </row>
    <row r="346">
      <c r="B346" s="46"/>
    </row>
    <row r="347">
      <c r="B347" s="46"/>
    </row>
    <row r="348">
      <c r="B348" s="46"/>
    </row>
    <row r="349">
      <c r="B349" s="46"/>
    </row>
    <row r="350">
      <c r="B350" s="46"/>
    </row>
    <row r="351">
      <c r="B351" s="46"/>
    </row>
    <row r="352">
      <c r="B352" s="46"/>
    </row>
    <row r="353">
      <c r="B353" s="46"/>
    </row>
    <row r="354">
      <c r="B354" s="46"/>
    </row>
    <row r="355">
      <c r="B355" s="46"/>
    </row>
    <row r="356">
      <c r="B356" s="46"/>
    </row>
    <row r="357">
      <c r="B357" s="46"/>
    </row>
    <row r="358">
      <c r="B358" s="46"/>
    </row>
    <row r="359">
      <c r="B359" s="46"/>
    </row>
    <row r="360">
      <c r="B360" s="46"/>
    </row>
    <row r="361">
      <c r="B361" s="46"/>
    </row>
    <row r="362">
      <c r="B362" s="46"/>
    </row>
    <row r="363">
      <c r="B363" s="46"/>
    </row>
    <row r="364">
      <c r="B364" s="46"/>
    </row>
    <row r="365">
      <c r="B365" s="46"/>
    </row>
    <row r="366">
      <c r="B366" s="46"/>
    </row>
    <row r="367">
      <c r="B367" s="46"/>
    </row>
    <row r="368">
      <c r="B368" s="46"/>
    </row>
    <row r="369">
      <c r="B369" s="46"/>
    </row>
    <row r="370">
      <c r="B370" s="46"/>
    </row>
    <row r="371">
      <c r="B371" s="46"/>
    </row>
    <row r="372">
      <c r="B372" s="46"/>
    </row>
    <row r="373">
      <c r="B373" s="46"/>
    </row>
    <row r="374">
      <c r="B374" s="46"/>
    </row>
    <row r="375">
      <c r="B375" s="46"/>
    </row>
    <row r="376">
      <c r="B376" s="46"/>
    </row>
    <row r="377">
      <c r="B377" s="46"/>
    </row>
    <row r="378">
      <c r="B378" s="46"/>
    </row>
    <row r="379">
      <c r="B379" s="46"/>
    </row>
    <row r="380">
      <c r="B380" s="46"/>
    </row>
    <row r="381">
      <c r="B381" s="46"/>
    </row>
    <row r="382">
      <c r="B382" s="46"/>
    </row>
    <row r="383">
      <c r="B383" s="46"/>
    </row>
    <row r="384">
      <c r="B384" s="46"/>
    </row>
    <row r="385">
      <c r="B385" s="46"/>
    </row>
    <row r="386">
      <c r="B386" s="46"/>
    </row>
    <row r="387">
      <c r="B387" s="46"/>
    </row>
    <row r="388">
      <c r="B388" s="46"/>
    </row>
    <row r="389">
      <c r="B389" s="46"/>
    </row>
    <row r="390">
      <c r="B390" s="46"/>
    </row>
    <row r="391">
      <c r="B391" s="46"/>
    </row>
    <row r="392">
      <c r="B392" s="46"/>
    </row>
    <row r="393">
      <c r="B393" s="46"/>
    </row>
    <row r="394">
      <c r="B394" s="46"/>
    </row>
    <row r="395">
      <c r="B395" s="46"/>
    </row>
    <row r="396">
      <c r="B396" s="46"/>
    </row>
    <row r="397">
      <c r="B397" s="46"/>
    </row>
    <row r="398">
      <c r="B398" s="46"/>
    </row>
    <row r="399">
      <c r="B399" s="46"/>
    </row>
    <row r="400">
      <c r="B400" s="46"/>
    </row>
    <row r="401">
      <c r="B401" s="46"/>
    </row>
    <row r="402">
      <c r="B402" s="46"/>
    </row>
    <row r="403">
      <c r="B403" s="46"/>
    </row>
    <row r="404">
      <c r="B404" s="46"/>
    </row>
    <row r="405">
      <c r="B405" s="46"/>
    </row>
    <row r="406">
      <c r="B406" s="46"/>
    </row>
    <row r="407">
      <c r="B407" s="46"/>
    </row>
    <row r="408">
      <c r="B408" s="46"/>
    </row>
    <row r="409">
      <c r="B409" s="46"/>
    </row>
    <row r="410">
      <c r="B410" s="46"/>
    </row>
    <row r="411">
      <c r="B411" s="46"/>
    </row>
    <row r="412">
      <c r="B412" s="46"/>
    </row>
    <row r="413">
      <c r="B413" s="46"/>
    </row>
    <row r="414">
      <c r="B414" s="46"/>
    </row>
    <row r="415">
      <c r="B415" s="46"/>
    </row>
    <row r="416">
      <c r="B416" s="46"/>
    </row>
    <row r="417">
      <c r="B417" s="46"/>
    </row>
    <row r="418">
      <c r="B418" s="46"/>
    </row>
    <row r="419">
      <c r="B419" s="46"/>
    </row>
    <row r="420">
      <c r="B420" s="46"/>
    </row>
    <row r="421">
      <c r="B421" s="46"/>
    </row>
    <row r="422">
      <c r="B422" s="46"/>
    </row>
    <row r="423">
      <c r="B423" s="46"/>
    </row>
    <row r="424">
      <c r="B424" s="46"/>
    </row>
    <row r="425">
      <c r="B425" s="46"/>
    </row>
    <row r="426">
      <c r="B426" s="46"/>
    </row>
    <row r="427">
      <c r="B427" s="46"/>
    </row>
    <row r="428">
      <c r="B428" s="46"/>
    </row>
    <row r="429">
      <c r="B429" s="46"/>
    </row>
    <row r="430">
      <c r="B430" s="46"/>
    </row>
    <row r="431">
      <c r="B431" s="46"/>
    </row>
    <row r="432">
      <c r="B432" s="46"/>
    </row>
    <row r="433">
      <c r="B433" s="46"/>
    </row>
    <row r="434">
      <c r="B434" s="46"/>
    </row>
    <row r="435">
      <c r="B435" s="46"/>
    </row>
    <row r="436">
      <c r="B436" s="46"/>
    </row>
    <row r="437">
      <c r="B437" s="46"/>
    </row>
    <row r="438">
      <c r="B438" s="46"/>
    </row>
    <row r="439">
      <c r="B439" s="46"/>
    </row>
    <row r="440">
      <c r="B440" s="46"/>
    </row>
    <row r="441">
      <c r="B441" s="46"/>
    </row>
    <row r="442">
      <c r="B442" s="46"/>
    </row>
    <row r="443">
      <c r="B443" s="46"/>
    </row>
    <row r="444">
      <c r="B444" s="46"/>
    </row>
    <row r="445">
      <c r="B445" s="46"/>
    </row>
    <row r="446">
      <c r="B446" s="46"/>
    </row>
    <row r="447">
      <c r="B447" s="46"/>
    </row>
    <row r="448">
      <c r="B448" s="46"/>
    </row>
    <row r="449">
      <c r="B449" s="46"/>
    </row>
    <row r="450">
      <c r="B450" s="46"/>
    </row>
    <row r="451">
      <c r="B451" s="46"/>
    </row>
    <row r="452">
      <c r="B452" s="46"/>
    </row>
    <row r="453">
      <c r="B453" s="46"/>
    </row>
    <row r="454">
      <c r="B454" s="46"/>
    </row>
    <row r="455">
      <c r="B455" s="46"/>
    </row>
    <row r="456">
      <c r="B456" s="46"/>
    </row>
    <row r="457">
      <c r="B457" s="46"/>
    </row>
    <row r="458">
      <c r="B458" s="46"/>
    </row>
    <row r="459">
      <c r="B459" s="46"/>
    </row>
    <row r="460">
      <c r="B460" s="46"/>
    </row>
    <row r="461">
      <c r="B461" s="46"/>
    </row>
    <row r="462">
      <c r="B462" s="46"/>
    </row>
    <row r="463">
      <c r="B463" s="46"/>
    </row>
    <row r="464">
      <c r="B464" s="46"/>
    </row>
    <row r="465">
      <c r="B465" s="46"/>
    </row>
    <row r="466">
      <c r="B466" s="46"/>
    </row>
    <row r="467">
      <c r="B467" s="46"/>
    </row>
    <row r="468">
      <c r="B468" s="46"/>
    </row>
    <row r="469">
      <c r="B469" s="46"/>
    </row>
    <row r="470">
      <c r="B470" s="46"/>
    </row>
    <row r="471">
      <c r="B471" s="46"/>
    </row>
    <row r="472">
      <c r="B472" s="46"/>
    </row>
    <row r="473">
      <c r="B473" s="46"/>
    </row>
    <row r="474">
      <c r="B474" s="46"/>
    </row>
    <row r="475">
      <c r="B475" s="46"/>
    </row>
    <row r="476">
      <c r="B476" s="46"/>
    </row>
    <row r="477">
      <c r="B477" s="46"/>
    </row>
    <row r="478">
      <c r="B478" s="46"/>
    </row>
    <row r="479">
      <c r="B479" s="46"/>
    </row>
    <row r="480">
      <c r="B480" s="46"/>
    </row>
    <row r="481">
      <c r="B481" s="46"/>
    </row>
    <row r="482">
      <c r="B482" s="46"/>
    </row>
    <row r="483">
      <c r="B483" s="46"/>
    </row>
    <row r="484">
      <c r="B484" s="46"/>
    </row>
    <row r="485">
      <c r="B485" s="46"/>
    </row>
    <row r="486">
      <c r="B486" s="46"/>
    </row>
    <row r="487">
      <c r="B487" s="46"/>
    </row>
    <row r="488">
      <c r="B488" s="46"/>
    </row>
    <row r="489">
      <c r="B489" s="46"/>
    </row>
    <row r="490">
      <c r="B490" s="46"/>
    </row>
    <row r="491">
      <c r="B491" s="46"/>
    </row>
    <row r="492">
      <c r="B492" s="46"/>
    </row>
    <row r="493">
      <c r="B493" s="46"/>
    </row>
    <row r="494">
      <c r="B494" s="46"/>
    </row>
    <row r="495">
      <c r="B495" s="46"/>
    </row>
    <row r="496">
      <c r="B496" s="46"/>
    </row>
    <row r="497">
      <c r="B497" s="46"/>
    </row>
    <row r="498">
      <c r="B498" s="46"/>
    </row>
    <row r="499">
      <c r="B499" s="46"/>
    </row>
    <row r="500">
      <c r="B500" s="46"/>
    </row>
    <row r="501">
      <c r="B501" s="46"/>
    </row>
    <row r="502">
      <c r="B502" s="46"/>
    </row>
    <row r="503">
      <c r="B503" s="46"/>
    </row>
    <row r="504">
      <c r="B504" s="46"/>
    </row>
    <row r="505">
      <c r="B505" s="46"/>
    </row>
    <row r="506">
      <c r="B506" s="46"/>
    </row>
    <row r="507">
      <c r="B507" s="46"/>
    </row>
    <row r="508">
      <c r="B508" s="46"/>
    </row>
    <row r="509">
      <c r="B509" s="46"/>
    </row>
    <row r="510">
      <c r="B510" s="46"/>
    </row>
    <row r="511">
      <c r="B511" s="46"/>
    </row>
    <row r="512">
      <c r="B512" s="46"/>
    </row>
    <row r="513">
      <c r="B513" s="46"/>
    </row>
    <row r="514">
      <c r="B514" s="46"/>
    </row>
    <row r="515">
      <c r="B515" s="46"/>
    </row>
    <row r="516">
      <c r="B516" s="46"/>
    </row>
    <row r="517">
      <c r="B517" s="46"/>
    </row>
    <row r="518">
      <c r="B518" s="46"/>
    </row>
    <row r="519">
      <c r="B519" s="46"/>
    </row>
    <row r="520">
      <c r="B520" s="46"/>
    </row>
    <row r="521">
      <c r="B521" s="46"/>
    </row>
    <row r="522">
      <c r="B522" s="46"/>
    </row>
    <row r="523">
      <c r="B523" s="46"/>
    </row>
    <row r="524">
      <c r="B524" s="46"/>
    </row>
    <row r="525">
      <c r="B525" s="46"/>
    </row>
    <row r="526">
      <c r="B526" s="46"/>
    </row>
    <row r="527">
      <c r="B527" s="46"/>
    </row>
    <row r="528">
      <c r="B528" s="46"/>
    </row>
    <row r="529">
      <c r="B529" s="46"/>
    </row>
    <row r="530">
      <c r="B530" s="46"/>
    </row>
    <row r="531">
      <c r="B531" s="46"/>
    </row>
    <row r="532">
      <c r="B532" s="46"/>
    </row>
    <row r="533">
      <c r="B533" s="46"/>
    </row>
    <row r="534">
      <c r="B534" s="46"/>
    </row>
    <row r="535">
      <c r="B535" s="46"/>
    </row>
    <row r="536">
      <c r="B536" s="46"/>
    </row>
    <row r="537">
      <c r="B537" s="46"/>
    </row>
    <row r="538">
      <c r="B538" s="46"/>
    </row>
    <row r="539">
      <c r="B539" s="46"/>
    </row>
    <row r="540">
      <c r="B540" s="46"/>
    </row>
    <row r="541">
      <c r="B541" s="46"/>
    </row>
    <row r="542">
      <c r="B542" s="46"/>
    </row>
    <row r="543">
      <c r="B543" s="46"/>
    </row>
    <row r="544">
      <c r="B544" s="46"/>
    </row>
    <row r="545">
      <c r="B545" s="46"/>
    </row>
    <row r="546">
      <c r="B546" s="46"/>
    </row>
    <row r="547">
      <c r="B547" s="46"/>
    </row>
    <row r="548">
      <c r="B548" s="46"/>
    </row>
    <row r="549">
      <c r="B549" s="46"/>
    </row>
    <row r="550">
      <c r="B550" s="46"/>
    </row>
    <row r="551">
      <c r="B551" s="46"/>
    </row>
    <row r="552">
      <c r="B552" s="46"/>
    </row>
    <row r="553">
      <c r="B553" s="46"/>
    </row>
    <row r="554">
      <c r="B554" s="46"/>
    </row>
    <row r="555">
      <c r="B555" s="46"/>
    </row>
    <row r="556">
      <c r="B556" s="46"/>
    </row>
    <row r="557">
      <c r="B557" s="46"/>
    </row>
    <row r="558">
      <c r="B558" s="46"/>
    </row>
    <row r="559">
      <c r="B559" s="46"/>
    </row>
    <row r="560">
      <c r="B560" s="46"/>
    </row>
    <row r="561">
      <c r="B561" s="46"/>
    </row>
    <row r="562">
      <c r="B562" s="46"/>
    </row>
    <row r="563">
      <c r="B563" s="46"/>
    </row>
    <row r="564">
      <c r="B564" s="46"/>
    </row>
    <row r="565">
      <c r="B565" s="46"/>
    </row>
    <row r="566">
      <c r="B566" s="46"/>
    </row>
    <row r="567">
      <c r="B567" s="46"/>
    </row>
    <row r="568">
      <c r="B568" s="46"/>
    </row>
    <row r="569">
      <c r="B569" s="46"/>
    </row>
    <row r="570">
      <c r="B570" s="46"/>
    </row>
    <row r="571">
      <c r="B571" s="46"/>
    </row>
    <row r="572">
      <c r="B572" s="46"/>
    </row>
    <row r="573">
      <c r="B573" s="46"/>
    </row>
    <row r="574">
      <c r="B574" s="46"/>
    </row>
    <row r="575">
      <c r="B575" s="46"/>
    </row>
    <row r="576">
      <c r="B576" s="46"/>
    </row>
    <row r="577">
      <c r="B577" s="46"/>
    </row>
    <row r="578">
      <c r="B578" s="46"/>
    </row>
    <row r="579">
      <c r="B579" s="46"/>
    </row>
    <row r="580">
      <c r="B580" s="46"/>
    </row>
    <row r="581">
      <c r="B581" s="46"/>
    </row>
    <row r="582">
      <c r="B582" s="46"/>
    </row>
    <row r="583">
      <c r="B583" s="46"/>
    </row>
    <row r="584">
      <c r="B584" s="46"/>
    </row>
    <row r="585">
      <c r="B585" s="46"/>
    </row>
    <row r="586">
      <c r="B586" s="46"/>
    </row>
    <row r="587">
      <c r="B587" s="46"/>
    </row>
    <row r="588">
      <c r="B588" s="46"/>
    </row>
    <row r="589">
      <c r="B589" s="46"/>
    </row>
    <row r="590">
      <c r="B590" s="46"/>
    </row>
    <row r="591">
      <c r="B591" s="46"/>
    </row>
    <row r="592">
      <c r="B592" s="46"/>
    </row>
    <row r="593">
      <c r="B593" s="46"/>
    </row>
    <row r="594">
      <c r="B594" s="46"/>
    </row>
    <row r="595">
      <c r="B595" s="46"/>
    </row>
    <row r="596">
      <c r="B596" s="46"/>
    </row>
    <row r="597">
      <c r="B597" s="46"/>
    </row>
    <row r="598">
      <c r="B598" s="46"/>
    </row>
    <row r="599">
      <c r="B599" s="46"/>
    </row>
    <row r="600">
      <c r="B600" s="46"/>
    </row>
    <row r="601">
      <c r="B601" s="46"/>
    </row>
    <row r="602">
      <c r="B602" s="46"/>
    </row>
    <row r="603">
      <c r="B603" s="46"/>
    </row>
    <row r="604">
      <c r="B604" s="46"/>
    </row>
    <row r="605">
      <c r="B605" s="46"/>
    </row>
    <row r="606">
      <c r="B606" s="46"/>
    </row>
    <row r="607">
      <c r="B607" s="46"/>
    </row>
    <row r="608">
      <c r="B608" s="46"/>
    </row>
    <row r="609">
      <c r="B609" s="46"/>
    </row>
    <row r="610">
      <c r="B610" s="46"/>
    </row>
    <row r="611">
      <c r="B611" s="46"/>
    </row>
    <row r="612">
      <c r="B612" s="46"/>
    </row>
    <row r="613">
      <c r="B613" s="46"/>
    </row>
    <row r="614">
      <c r="B614" s="46"/>
    </row>
    <row r="615">
      <c r="B615" s="46"/>
    </row>
    <row r="616">
      <c r="B616" s="46"/>
    </row>
    <row r="617">
      <c r="B617" s="46"/>
    </row>
    <row r="618">
      <c r="B618" s="46"/>
    </row>
    <row r="619">
      <c r="B619" s="46"/>
    </row>
    <row r="620">
      <c r="B620" s="46"/>
    </row>
    <row r="621">
      <c r="B621" s="46"/>
    </row>
    <row r="622">
      <c r="B622" s="46"/>
    </row>
    <row r="623">
      <c r="B623" s="46"/>
    </row>
    <row r="624">
      <c r="B624" s="46"/>
    </row>
    <row r="625">
      <c r="B625" s="46"/>
    </row>
    <row r="626">
      <c r="B626" s="46"/>
    </row>
    <row r="627">
      <c r="B627" s="46"/>
    </row>
    <row r="628">
      <c r="B628" s="46"/>
    </row>
    <row r="629">
      <c r="B629" s="46"/>
    </row>
    <row r="630">
      <c r="B630" s="46"/>
    </row>
    <row r="631">
      <c r="B631" s="46"/>
    </row>
    <row r="632">
      <c r="B632" s="46"/>
    </row>
    <row r="633">
      <c r="B633" s="46"/>
    </row>
    <row r="634">
      <c r="B634" s="46"/>
    </row>
    <row r="635">
      <c r="B635" s="46"/>
    </row>
    <row r="636">
      <c r="B636" s="46"/>
    </row>
    <row r="637">
      <c r="B637" s="46"/>
    </row>
    <row r="638">
      <c r="B638" s="46"/>
    </row>
    <row r="639">
      <c r="B639" s="46"/>
    </row>
    <row r="640">
      <c r="B640" s="46"/>
    </row>
    <row r="641">
      <c r="B641" s="46"/>
    </row>
    <row r="642">
      <c r="B642" s="46"/>
    </row>
    <row r="643">
      <c r="B643" s="46"/>
    </row>
    <row r="644">
      <c r="B644" s="46"/>
    </row>
    <row r="645">
      <c r="B645" s="46"/>
    </row>
    <row r="646">
      <c r="B646" s="46"/>
    </row>
    <row r="647">
      <c r="B647" s="46"/>
    </row>
    <row r="648">
      <c r="B648" s="46"/>
    </row>
    <row r="649">
      <c r="B649" s="46"/>
    </row>
    <row r="650">
      <c r="B650" s="46"/>
    </row>
    <row r="651">
      <c r="B651" s="46"/>
    </row>
    <row r="652">
      <c r="B652" s="46"/>
    </row>
    <row r="653">
      <c r="B653" s="46"/>
    </row>
    <row r="654">
      <c r="B654" s="46"/>
    </row>
    <row r="655">
      <c r="B655" s="46"/>
    </row>
    <row r="656">
      <c r="B656" s="46"/>
    </row>
    <row r="657">
      <c r="B657" s="46"/>
    </row>
    <row r="658">
      <c r="B658" s="46"/>
    </row>
    <row r="659">
      <c r="B659" s="46"/>
    </row>
    <row r="660">
      <c r="B660" s="46"/>
    </row>
    <row r="661">
      <c r="B661" s="46"/>
    </row>
    <row r="662">
      <c r="B662" s="46"/>
    </row>
    <row r="663">
      <c r="B663" s="46"/>
    </row>
    <row r="664">
      <c r="B664" s="46"/>
    </row>
    <row r="665">
      <c r="B665" s="46"/>
    </row>
    <row r="666">
      <c r="B666" s="46"/>
    </row>
    <row r="667">
      <c r="B667" s="46"/>
    </row>
    <row r="668">
      <c r="B668" s="46"/>
    </row>
    <row r="669">
      <c r="B669" s="46"/>
    </row>
    <row r="670">
      <c r="B670" s="46"/>
    </row>
    <row r="671">
      <c r="B671" s="46"/>
    </row>
    <row r="672">
      <c r="B672" s="46"/>
    </row>
    <row r="673">
      <c r="B673" s="46"/>
    </row>
    <row r="674">
      <c r="B674" s="46"/>
    </row>
    <row r="675">
      <c r="B675" s="46"/>
    </row>
    <row r="676">
      <c r="B676" s="46"/>
    </row>
    <row r="677">
      <c r="B677" s="46"/>
    </row>
    <row r="678">
      <c r="B678" s="46"/>
    </row>
    <row r="679">
      <c r="B679" s="46"/>
    </row>
    <row r="680">
      <c r="B680" s="46"/>
    </row>
    <row r="681">
      <c r="B681" s="46"/>
    </row>
    <row r="682">
      <c r="B682" s="46"/>
    </row>
    <row r="683">
      <c r="B683" s="46"/>
    </row>
    <row r="684">
      <c r="B684" s="46"/>
    </row>
    <row r="685">
      <c r="B685" s="46"/>
    </row>
    <row r="686">
      <c r="B686" s="46"/>
    </row>
    <row r="687">
      <c r="B687" s="46"/>
    </row>
    <row r="688">
      <c r="B688" s="46"/>
    </row>
    <row r="689">
      <c r="B689" s="46"/>
    </row>
    <row r="690">
      <c r="B690" s="46"/>
    </row>
    <row r="691">
      <c r="B691" s="46"/>
    </row>
    <row r="692">
      <c r="B692" s="46"/>
    </row>
    <row r="693">
      <c r="B693" s="46"/>
    </row>
    <row r="694">
      <c r="B694" s="46"/>
    </row>
    <row r="695">
      <c r="B695" s="46"/>
    </row>
    <row r="696">
      <c r="B696" s="46"/>
    </row>
    <row r="697">
      <c r="B697" s="46"/>
    </row>
    <row r="698">
      <c r="B698" s="46"/>
    </row>
    <row r="699">
      <c r="B699" s="46"/>
    </row>
    <row r="700">
      <c r="B700" s="46"/>
    </row>
    <row r="701">
      <c r="B701" s="46"/>
    </row>
    <row r="702">
      <c r="B702" s="46"/>
    </row>
    <row r="703">
      <c r="B703" s="46"/>
    </row>
    <row r="704">
      <c r="B704" s="46"/>
    </row>
    <row r="705">
      <c r="B705" s="46"/>
    </row>
    <row r="706">
      <c r="B706" s="46"/>
    </row>
    <row r="707">
      <c r="B707" s="46"/>
    </row>
    <row r="708">
      <c r="B708" s="46"/>
    </row>
    <row r="709">
      <c r="B709" s="46"/>
    </row>
    <row r="710">
      <c r="B710" s="46"/>
    </row>
    <row r="711">
      <c r="B711" s="46"/>
    </row>
    <row r="712">
      <c r="B712" s="46"/>
    </row>
    <row r="713">
      <c r="B713" s="46"/>
    </row>
    <row r="714">
      <c r="B714" s="46"/>
    </row>
    <row r="715">
      <c r="B715" s="46"/>
    </row>
    <row r="716">
      <c r="B716" s="46"/>
    </row>
    <row r="717">
      <c r="B717" s="46"/>
    </row>
    <row r="718">
      <c r="B718" s="46"/>
    </row>
    <row r="719">
      <c r="B719" s="46"/>
    </row>
    <row r="720">
      <c r="B720" s="46"/>
    </row>
    <row r="721">
      <c r="B721" s="46"/>
    </row>
    <row r="722">
      <c r="B722" s="46"/>
    </row>
    <row r="723">
      <c r="B723" s="46"/>
    </row>
    <row r="724">
      <c r="B724" s="46"/>
    </row>
    <row r="725">
      <c r="B725" s="46"/>
    </row>
    <row r="726">
      <c r="B726" s="46"/>
    </row>
    <row r="727">
      <c r="B727" s="46"/>
    </row>
    <row r="728">
      <c r="B728" s="46"/>
    </row>
    <row r="729">
      <c r="B729" s="46"/>
    </row>
    <row r="730">
      <c r="B730" s="46"/>
    </row>
    <row r="731">
      <c r="B731" s="46"/>
    </row>
    <row r="732">
      <c r="B732" s="46"/>
    </row>
    <row r="733">
      <c r="B733" s="46"/>
    </row>
    <row r="734">
      <c r="B734" s="46"/>
    </row>
    <row r="735">
      <c r="B735" s="46"/>
    </row>
    <row r="736">
      <c r="B736" s="46"/>
    </row>
    <row r="737">
      <c r="B737" s="46"/>
    </row>
    <row r="738">
      <c r="B738" s="46"/>
    </row>
    <row r="739">
      <c r="B739" s="46"/>
    </row>
    <row r="740">
      <c r="B740" s="46"/>
    </row>
    <row r="741">
      <c r="B741" s="46"/>
    </row>
    <row r="742">
      <c r="B742" s="46"/>
    </row>
    <row r="743">
      <c r="B743" s="46"/>
    </row>
    <row r="744">
      <c r="B744" s="46"/>
    </row>
    <row r="745">
      <c r="B745" s="46"/>
    </row>
    <row r="746">
      <c r="B746" s="46"/>
    </row>
    <row r="747">
      <c r="B747" s="46"/>
    </row>
    <row r="748">
      <c r="B748" s="46"/>
    </row>
    <row r="749">
      <c r="B749" s="46"/>
    </row>
    <row r="750">
      <c r="B750" s="46"/>
    </row>
    <row r="751">
      <c r="B751" s="46"/>
    </row>
    <row r="752">
      <c r="B752" s="46"/>
    </row>
    <row r="753">
      <c r="B753" s="46"/>
    </row>
    <row r="754">
      <c r="B754" s="46"/>
    </row>
    <row r="755">
      <c r="B755" s="46"/>
    </row>
    <row r="756">
      <c r="B756" s="46"/>
    </row>
    <row r="757">
      <c r="B757" s="46"/>
    </row>
    <row r="758">
      <c r="B758" s="46"/>
    </row>
    <row r="759">
      <c r="B759" s="46"/>
    </row>
    <row r="760">
      <c r="B760" s="46"/>
    </row>
    <row r="761">
      <c r="B761" s="46"/>
    </row>
    <row r="762">
      <c r="B762" s="46"/>
    </row>
    <row r="763">
      <c r="B763" s="46"/>
    </row>
    <row r="764">
      <c r="B764" s="46"/>
    </row>
    <row r="765">
      <c r="B765" s="46"/>
    </row>
    <row r="766">
      <c r="B766" s="46"/>
    </row>
    <row r="767">
      <c r="B767" s="46"/>
    </row>
    <row r="768">
      <c r="B768" s="46"/>
    </row>
    <row r="769">
      <c r="B769" s="46"/>
    </row>
    <row r="770">
      <c r="B770" s="46"/>
    </row>
    <row r="771">
      <c r="B771" s="46"/>
    </row>
    <row r="772">
      <c r="B772" s="46"/>
    </row>
    <row r="773">
      <c r="B773" s="46"/>
    </row>
    <row r="774">
      <c r="B774" s="46"/>
    </row>
    <row r="775">
      <c r="B775" s="46"/>
    </row>
    <row r="776">
      <c r="B776" s="46"/>
    </row>
    <row r="777">
      <c r="B777" s="46"/>
    </row>
    <row r="778">
      <c r="B778" s="46"/>
    </row>
    <row r="779">
      <c r="B779" s="46"/>
    </row>
    <row r="780">
      <c r="B780" s="46"/>
    </row>
    <row r="781">
      <c r="B781" s="46"/>
    </row>
    <row r="782">
      <c r="B782" s="46"/>
    </row>
    <row r="783">
      <c r="B783" s="46"/>
    </row>
    <row r="784">
      <c r="B784" s="46"/>
    </row>
    <row r="785">
      <c r="B785" s="46"/>
    </row>
    <row r="786">
      <c r="B786" s="46"/>
    </row>
    <row r="787">
      <c r="B787" s="46"/>
    </row>
    <row r="788">
      <c r="B788" s="46"/>
    </row>
    <row r="789">
      <c r="B789" s="46"/>
    </row>
    <row r="790">
      <c r="B790" s="46"/>
    </row>
    <row r="791">
      <c r="B791" s="46"/>
    </row>
    <row r="792">
      <c r="B792" s="46"/>
    </row>
    <row r="793">
      <c r="B793" s="46"/>
    </row>
    <row r="794">
      <c r="B794" s="46"/>
    </row>
    <row r="795">
      <c r="B795" s="46"/>
    </row>
    <row r="796">
      <c r="B796" s="46"/>
    </row>
    <row r="797">
      <c r="B797" s="46"/>
    </row>
    <row r="798">
      <c r="B798" s="46"/>
    </row>
    <row r="799">
      <c r="B799" s="46"/>
    </row>
    <row r="800">
      <c r="B800" s="46"/>
    </row>
    <row r="801">
      <c r="B801" s="46"/>
    </row>
    <row r="802">
      <c r="B802" s="46"/>
    </row>
    <row r="803">
      <c r="B803" s="46"/>
    </row>
    <row r="804">
      <c r="B804" s="46"/>
    </row>
    <row r="805">
      <c r="B805" s="46"/>
    </row>
    <row r="806">
      <c r="B806" s="46"/>
    </row>
    <row r="807">
      <c r="B807" s="46"/>
    </row>
    <row r="808">
      <c r="B808" s="46"/>
    </row>
    <row r="809">
      <c r="B809" s="46"/>
    </row>
    <row r="810">
      <c r="B810" s="46"/>
    </row>
    <row r="811">
      <c r="B811" s="46"/>
    </row>
    <row r="812">
      <c r="B812" s="46"/>
    </row>
    <row r="813">
      <c r="B813" s="46"/>
    </row>
    <row r="814">
      <c r="B814" s="46"/>
    </row>
    <row r="815">
      <c r="B815" s="46"/>
    </row>
    <row r="816">
      <c r="B816" s="46"/>
    </row>
    <row r="817">
      <c r="B817" s="46"/>
    </row>
    <row r="818">
      <c r="B818" s="46"/>
    </row>
    <row r="819">
      <c r="B819" s="46"/>
    </row>
    <row r="820">
      <c r="B820" s="46"/>
    </row>
    <row r="821">
      <c r="B821" s="46"/>
    </row>
    <row r="822">
      <c r="B822" s="46"/>
    </row>
    <row r="823">
      <c r="B823" s="46"/>
    </row>
    <row r="824">
      <c r="B824" s="46"/>
    </row>
    <row r="825">
      <c r="B825" s="46"/>
    </row>
    <row r="826">
      <c r="B826" s="46"/>
    </row>
    <row r="827">
      <c r="B827" s="46"/>
    </row>
    <row r="828">
      <c r="B828" s="46"/>
    </row>
    <row r="829">
      <c r="B829" s="46"/>
    </row>
    <row r="830">
      <c r="B830" s="46"/>
    </row>
    <row r="831">
      <c r="B831" s="46"/>
    </row>
    <row r="832">
      <c r="B832" s="46"/>
    </row>
    <row r="833">
      <c r="B833" s="46"/>
    </row>
    <row r="834">
      <c r="B834" s="46"/>
    </row>
    <row r="835">
      <c r="B835" s="46"/>
    </row>
    <row r="836">
      <c r="B836" s="46"/>
    </row>
    <row r="837">
      <c r="B837" s="46"/>
    </row>
    <row r="838">
      <c r="B838" s="46"/>
    </row>
    <row r="839">
      <c r="B839" s="46"/>
    </row>
    <row r="840">
      <c r="B840" s="46"/>
    </row>
    <row r="841">
      <c r="B841" s="46"/>
    </row>
    <row r="842">
      <c r="B842" s="46"/>
    </row>
    <row r="843">
      <c r="B843" s="46"/>
    </row>
    <row r="844">
      <c r="B844" s="46"/>
    </row>
    <row r="845">
      <c r="B845" s="46"/>
    </row>
    <row r="846">
      <c r="B846" s="46"/>
    </row>
    <row r="847">
      <c r="B847" s="46"/>
    </row>
    <row r="848">
      <c r="B848" s="46"/>
    </row>
    <row r="849">
      <c r="B849" s="46"/>
    </row>
    <row r="850">
      <c r="B850" s="46"/>
    </row>
    <row r="851">
      <c r="B851" s="46"/>
    </row>
    <row r="852">
      <c r="B852" s="46"/>
    </row>
    <row r="853">
      <c r="B853" s="46"/>
    </row>
    <row r="854">
      <c r="B854" s="46"/>
    </row>
    <row r="855">
      <c r="B855" s="46"/>
    </row>
    <row r="856">
      <c r="B856" s="46"/>
    </row>
    <row r="857">
      <c r="B857" s="46"/>
    </row>
    <row r="858">
      <c r="B858" s="46"/>
    </row>
    <row r="859">
      <c r="B859" s="46"/>
    </row>
    <row r="860">
      <c r="B860" s="46"/>
    </row>
    <row r="861">
      <c r="B861" s="46"/>
    </row>
    <row r="862">
      <c r="B862" s="46"/>
    </row>
    <row r="863">
      <c r="B863" s="46"/>
    </row>
    <row r="864">
      <c r="B864" s="46"/>
    </row>
    <row r="865">
      <c r="B865" s="46"/>
    </row>
    <row r="866">
      <c r="B866" s="46"/>
    </row>
    <row r="867">
      <c r="B867" s="46"/>
    </row>
    <row r="868">
      <c r="B868" s="46"/>
    </row>
    <row r="869">
      <c r="B869" s="46"/>
    </row>
    <row r="870">
      <c r="B870" s="46"/>
    </row>
    <row r="871">
      <c r="B871" s="46"/>
    </row>
    <row r="872">
      <c r="B872" s="46"/>
    </row>
    <row r="873">
      <c r="B873" s="46"/>
    </row>
    <row r="874">
      <c r="B874" s="46"/>
    </row>
    <row r="875">
      <c r="B875" s="46"/>
    </row>
    <row r="876">
      <c r="B876" s="46"/>
    </row>
    <row r="877">
      <c r="B877" s="46"/>
    </row>
    <row r="878">
      <c r="B878" s="46"/>
    </row>
    <row r="879">
      <c r="B879" s="46"/>
    </row>
    <row r="880">
      <c r="B880" s="46"/>
    </row>
    <row r="881">
      <c r="B881" s="46"/>
    </row>
    <row r="882">
      <c r="B882" s="46"/>
    </row>
    <row r="883">
      <c r="B883" s="46"/>
    </row>
    <row r="884">
      <c r="B884" s="46"/>
    </row>
    <row r="885">
      <c r="B885" s="46"/>
    </row>
    <row r="886">
      <c r="B886" s="46"/>
    </row>
    <row r="887">
      <c r="B887" s="46"/>
    </row>
    <row r="888">
      <c r="B888" s="46"/>
    </row>
    <row r="889">
      <c r="B889" s="46"/>
    </row>
    <row r="890">
      <c r="B890" s="46"/>
    </row>
    <row r="891">
      <c r="B891" s="46"/>
    </row>
    <row r="892">
      <c r="B892" s="46"/>
    </row>
    <row r="893">
      <c r="B893" s="46"/>
    </row>
    <row r="894">
      <c r="B894" s="46"/>
    </row>
    <row r="895">
      <c r="B895" s="46"/>
    </row>
    <row r="896">
      <c r="B896" s="46"/>
    </row>
    <row r="897">
      <c r="B897" s="46"/>
    </row>
    <row r="898">
      <c r="B898" s="46"/>
    </row>
    <row r="899">
      <c r="B899" s="46"/>
    </row>
    <row r="900">
      <c r="B900" s="46"/>
    </row>
    <row r="901">
      <c r="B901" s="46"/>
    </row>
    <row r="902">
      <c r="B902" s="46"/>
    </row>
    <row r="903">
      <c r="B903" s="46"/>
    </row>
    <row r="904">
      <c r="B904" s="46"/>
    </row>
    <row r="905">
      <c r="B905" s="46"/>
    </row>
    <row r="906">
      <c r="B906" s="46"/>
    </row>
    <row r="907">
      <c r="B907" s="46"/>
    </row>
    <row r="908">
      <c r="B908" s="46"/>
    </row>
    <row r="909">
      <c r="B909" s="46"/>
    </row>
    <row r="910">
      <c r="B910" s="46"/>
    </row>
    <row r="911">
      <c r="B911" s="46"/>
    </row>
    <row r="912">
      <c r="B912" s="46"/>
    </row>
    <row r="913">
      <c r="B913" s="46"/>
    </row>
    <row r="914">
      <c r="B914" s="46"/>
    </row>
    <row r="915">
      <c r="B915" s="46"/>
    </row>
    <row r="916">
      <c r="B916" s="46"/>
    </row>
    <row r="917">
      <c r="B917" s="46"/>
    </row>
    <row r="918">
      <c r="B918" s="46"/>
    </row>
    <row r="919">
      <c r="B919" s="46"/>
    </row>
    <row r="920">
      <c r="B920" s="46"/>
    </row>
    <row r="921">
      <c r="B921" s="46"/>
    </row>
    <row r="922">
      <c r="B922" s="46"/>
    </row>
    <row r="923">
      <c r="B923" s="46"/>
    </row>
    <row r="924">
      <c r="B924" s="46"/>
    </row>
    <row r="925">
      <c r="B925" s="46"/>
    </row>
    <row r="926">
      <c r="B926" s="46"/>
    </row>
    <row r="927">
      <c r="B927" s="46"/>
    </row>
    <row r="928">
      <c r="B928" s="46"/>
    </row>
    <row r="929">
      <c r="B929" s="46"/>
    </row>
    <row r="930">
      <c r="B930" s="46"/>
    </row>
    <row r="931">
      <c r="B931" s="46"/>
    </row>
    <row r="932">
      <c r="B932" s="46"/>
    </row>
    <row r="933">
      <c r="B933" s="46"/>
    </row>
    <row r="934">
      <c r="B934" s="46"/>
    </row>
    <row r="935">
      <c r="B935" s="46"/>
    </row>
    <row r="936">
      <c r="B936" s="46"/>
    </row>
    <row r="937">
      <c r="B937" s="46"/>
    </row>
    <row r="938">
      <c r="B938" s="46"/>
    </row>
    <row r="939">
      <c r="B939" s="46"/>
    </row>
    <row r="940">
      <c r="B940" s="46"/>
    </row>
    <row r="941">
      <c r="B941" s="46"/>
    </row>
    <row r="942">
      <c r="B942" s="46"/>
    </row>
    <row r="943">
      <c r="B943" s="46"/>
    </row>
    <row r="944">
      <c r="B944" s="46"/>
    </row>
    <row r="945">
      <c r="B945" s="46"/>
    </row>
    <row r="946">
      <c r="B946" s="46"/>
    </row>
    <row r="947">
      <c r="B947" s="46"/>
    </row>
    <row r="948">
      <c r="B948" s="46"/>
    </row>
    <row r="949">
      <c r="B949" s="46"/>
    </row>
    <row r="950">
      <c r="B950" s="46"/>
    </row>
    <row r="951">
      <c r="B951" s="46"/>
    </row>
    <row r="952">
      <c r="B952" s="46"/>
    </row>
    <row r="953">
      <c r="B953" s="46"/>
    </row>
    <row r="954">
      <c r="B954" s="46"/>
    </row>
    <row r="955">
      <c r="B955" s="46"/>
    </row>
    <row r="956">
      <c r="B956" s="46"/>
    </row>
    <row r="957">
      <c r="B957" s="46"/>
    </row>
    <row r="958">
      <c r="B958" s="46"/>
    </row>
    <row r="959">
      <c r="B959" s="46"/>
    </row>
    <row r="960">
      <c r="B960" s="46"/>
    </row>
    <row r="961">
      <c r="B961" s="46"/>
    </row>
    <row r="962">
      <c r="B962" s="46"/>
    </row>
    <row r="963">
      <c r="B963" s="46"/>
    </row>
    <row r="964">
      <c r="B964" s="46"/>
    </row>
    <row r="965">
      <c r="B965" s="46"/>
    </row>
    <row r="966">
      <c r="B966" s="46"/>
    </row>
    <row r="967">
      <c r="B967" s="46"/>
    </row>
    <row r="968">
      <c r="B968" s="46"/>
    </row>
    <row r="969">
      <c r="B969" s="46"/>
    </row>
    <row r="970">
      <c r="B970" s="46"/>
    </row>
    <row r="971">
      <c r="B971" s="46"/>
    </row>
    <row r="972">
      <c r="B972" s="46"/>
    </row>
    <row r="973">
      <c r="B973" s="46"/>
    </row>
    <row r="974">
      <c r="B974" s="46"/>
    </row>
    <row r="975">
      <c r="B975" s="46"/>
    </row>
    <row r="976">
      <c r="B976" s="46"/>
    </row>
    <row r="977">
      <c r="B977" s="46"/>
    </row>
    <row r="978">
      <c r="B978" s="46"/>
    </row>
    <row r="979">
      <c r="B979" s="46"/>
    </row>
    <row r="980">
      <c r="B980" s="46"/>
    </row>
    <row r="981">
      <c r="B981" s="46"/>
    </row>
    <row r="982">
      <c r="B982" s="46"/>
    </row>
    <row r="983">
      <c r="B983" s="46"/>
    </row>
    <row r="984">
      <c r="B984" s="46"/>
    </row>
    <row r="985">
      <c r="B985" s="46"/>
    </row>
    <row r="986">
      <c r="B986" s="46"/>
    </row>
    <row r="987">
      <c r="B987" s="46"/>
    </row>
    <row r="988">
      <c r="B988" s="46"/>
    </row>
    <row r="989">
      <c r="B989" s="46"/>
    </row>
    <row r="990">
      <c r="B990" s="46"/>
    </row>
    <row r="991">
      <c r="B991" s="46"/>
    </row>
    <row r="992">
      <c r="B992" s="46"/>
    </row>
    <row r="993">
      <c r="B993" s="46"/>
    </row>
    <row r="994">
      <c r="B994" s="46"/>
    </row>
    <row r="995">
      <c r="B995" s="46"/>
    </row>
    <row r="996">
      <c r="B996" s="46"/>
    </row>
    <row r="997">
      <c r="B997" s="46"/>
    </row>
    <row r="998">
      <c r="B998" s="46"/>
    </row>
    <row r="999">
      <c r="B999" s="46"/>
    </row>
    <row r="1000">
      <c r="B1000" s="46"/>
    </row>
    <row r="1001">
      <c r="B1001" s="46"/>
    </row>
    <row r="1002">
      <c r="B1002" s="46"/>
    </row>
    <row r="1003">
      <c r="B1003" s="46"/>
    </row>
    <row r="1004">
      <c r="B1004" s="4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423</v>
      </c>
      <c r="B1" s="108" t="s">
        <v>424</v>
      </c>
    </row>
    <row r="2">
      <c r="A2" s="38" t="s">
        <v>389</v>
      </c>
      <c r="B2" s="108">
        <v>300.0</v>
      </c>
    </row>
    <row r="3">
      <c r="A3" s="38" t="s">
        <v>390</v>
      </c>
      <c r="B3" s="108">
        <v>600.0</v>
      </c>
    </row>
    <row r="4">
      <c r="A4" s="38" t="s">
        <v>391</v>
      </c>
      <c r="B4" s="108">
        <v>900.0</v>
      </c>
    </row>
    <row r="5">
      <c r="A5" s="38" t="s">
        <v>392</v>
      </c>
      <c r="B5" s="108">
        <v>1200.0</v>
      </c>
    </row>
    <row r="6">
      <c r="A6" s="38" t="s">
        <v>393</v>
      </c>
      <c r="B6" s="108">
        <v>1500.0</v>
      </c>
    </row>
    <row r="7">
      <c r="B7" s="46"/>
    </row>
    <row r="8">
      <c r="B8" s="46"/>
    </row>
    <row r="9">
      <c r="B9" s="46"/>
    </row>
    <row r="10">
      <c r="B10" s="46"/>
    </row>
    <row r="11">
      <c r="B11" s="46"/>
    </row>
    <row r="12">
      <c r="B12" s="46"/>
    </row>
    <row r="13">
      <c r="B13" s="46"/>
    </row>
    <row r="14">
      <c r="B14" s="46"/>
    </row>
    <row r="15">
      <c r="B15" s="46"/>
    </row>
    <row r="16">
      <c r="B16" s="46"/>
    </row>
    <row r="17">
      <c r="B17" s="46"/>
    </row>
    <row r="18">
      <c r="B18" s="46"/>
    </row>
    <row r="19">
      <c r="B19" s="46"/>
    </row>
    <row r="20">
      <c r="B20" s="46"/>
    </row>
    <row r="21">
      <c r="B21" s="46"/>
    </row>
    <row r="22">
      <c r="B22" s="46"/>
    </row>
    <row r="23">
      <c r="B23" s="46"/>
    </row>
    <row r="24">
      <c r="B24" s="46"/>
    </row>
    <row r="25">
      <c r="B25" s="46"/>
    </row>
    <row r="26">
      <c r="B26" s="46"/>
    </row>
    <row r="27">
      <c r="B27" s="46"/>
    </row>
    <row r="28">
      <c r="B28" s="46"/>
    </row>
    <row r="29">
      <c r="B29" s="46"/>
    </row>
    <row r="30">
      <c r="B30" s="46"/>
    </row>
    <row r="31">
      <c r="B31" s="46"/>
    </row>
    <row r="32">
      <c r="B32" s="46"/>
    </row>
    <row r="33">
      <c r="B33" s="46"/>
    </row>
    <row r="34">
      <c r="B34" s="46"/>
    </row>
    <row r="35">
      <c r="B35" s="46"/>
    </row>
    <row r="36">
      <c r="B36" s="46"/>
    </row>
    <row r="37">
      <c r="B37" s="46"/>
    </row>
    <row r="38">
      <c r="B38" s="46"/>
    </row>
    <row r="39">
      <c r="B39" s="46"/>
    </row>
    <row r="40">
      <c r="B40" s="46"/>
    </row>
    <row r="41">
      <c r="B41" s="46"/>
    </row>
    <row r="42">
      <c r="B42" s="46"/>
    </row>
    <row r="43">
      <c r="B43" s="46"/>
    </row>
    <row r="44">
      <c r="B44" s="46"/>
    </row>
    <row r="45">
      <c r="B45" s="46"/>
    </row>
    <row r="46">
      <c r="B46" s="46"/>
    </row>
    <row r="47">
      <c r="B47" s="46"/>
    </row>
    <row r="48">
      <c r="B48" s="46"/>
    </row>
    <row r="49">
      <c r="B49" s="46"/>
    </row>
    <row r="50">
      <c r="B50" s="46"/>
    </row>
    <row r="51">
      <c r="B51" s="46"/>
    </row>
    <row r="52">
      <c r="B52" s="46"/>
    </row>
    <row r="53">
      <c r="B53" s="46"/>
    </row>
    <row r="54">
      <c r="B54" s="46"/>
    </row>
    <row r="55">
      <c r="B55" s="46"/>
    </row>
    <row r="56">
      <c r="B56" s="46"/>
    </row>
    <row r="57">
      <c r="B57" s="46"/>
    </row>
    <row r="58">
      <c r="B58" s="46"/>
    </row>
    <row r="59">
      <c r="B59" s="46"/>
    </row>
    <row r="60">
      <c r="B60" s="46"/>
    </row>
    <row r="61">
      <c r="B61" s="46"/>
    </row>
    <row r="62">
      <c r="B62" s="46"/>
    </row>
    <row r="63">
      <c r="B63" s="46"/>
    </row>
    <row r="64">
      <c r="B64" s="46"/>
    </row>
    <row r="65">
      <c r="B65" s="46"/>
    </row>
    <row r="66">
      <c r="B66" s="46"/>
    </row>
    <row r="67">
      <c r="B67" s="46"/>
    </row>
    <row r="68">
      <c r="B68" s="46"/>
    </row>
    <row r="69">
      <c r="B69" s="46"/>
    </row>
    <row r="70">
      <c r="B70" s="46"/>
    </row>
    <row r="71">
      <c r="B71" s="46"/>
    </row>
    <row r="72">
      <c r="B72" s="46"/>
    </row>
    <row r="73">
      <c r="B73" s="46"/>
    </row>
    <row r="74">
      <c r="B74" s="46"/>
    </row>
    <row r="75">
      <c r="B75" s="46"/>
    </row>
    <row r="76">
      <c r="B76" s="46"/>
    </row>
    <row r="77">
      <c r="B77" s="46"/>
    </row>
    <row r="78">
      <c r="B78" s="46"/>
    </row>
    <row r="79">
      <c r="B79" s="46"/>
    </row>
    <row r="80">
      <c r="B80" s="46"/>
    </row>
    <row r="81">
      <c r="B81" s="46"/>
    </row>
    <row r="82">
      <c r="B82" s="46"/>
    </row>
    <row r="83">
      <c r="B83" s="46"/>
    </row>
    <row r="84">
      <c r="B84" s="46"/>
    </row>
    <row r="85">
      <c r="B85" s="46"/>
    </row>
    <row r="86">
      <c r="B86" s="46"/>
    </row>
    <row r="87">
      <c r="B87" s="46"/>
    </row>
    <row r="88">
      <c r="B88" s="46"/>
    </row>
    <row r="89">
      <c r="B89" s="46"/>
    </row>
    <row r="90">
      <c r="B90" s="46"/>
    </row>
    <row r="91">
      <c r="B91" s="46"/>
    </row>
    <row r="92">
      <c r="B92" s="46"/>
    </row>
    <row r="93">
      <c r="B93" s="46"/>
    </row>
    <row r="94">
      <c r="B94" s="46"/>
    </row>
    <row r="95">
      <c r="B95" s="46"/>
    </row>
    <row r="96">
      <c r="B96" s="46"/>
    </row>
    <row r="97">
      <c r="B97" s="46"/>
    </row>
    <row r="98">
      <c r="B98" s="46"/>
    </row>
    <row r="99">
      <c r="B99" s="46"/>
    </row>
    <row r="100">
      <c r="B100" s="46"/>
    </row>
    <row r="101">
      <c r="B101" s="46"/>
    </row>
    <row r="102">
      <c r="B102" s="46"/>
    </row>
    <row r="103">
      <c r="B103" s="46"/>
    </row>
    <row r="104">
      <c r="B104" s="46"/>
    </row>
    <row r="105">
      <c r="B105" s="46"/>
    </row>
    <row r="106">
      <c r="B106" s="46"/>
    </row>
    <row r="107">
      <c r="B107" s="46"/>
    </row>
    <row r="108">
      <c r="B108" s="46"/>
    </row>
    <row r="109">
      <c r="B109" s="46"/>
    </row>
    <row r="110">
      <c r="B110" s="46"/>
    </row>
    <row r="111">
      <c r="B111" s="46"/>
    </row>
    <row r="112">
      <c r="B112" s="46"/>
    </row>
    <row r="113">
      <c r="B113" s="46"/>
    </row>
    <row r="114">
      <c r="B114" s="46"/>
    </row>
    <row r="115">
      <c r="B115" s="46"/>
    </row>
    <row r="116">
      <c r="B116" s="46"/>
    </row>
    <row r="117">
      <c r="B117" s="46"/>
    </row>
    <row r="118">
      <c r="B118" s="46"/>
    </row>
    <row r="119">
      <c r="B119" s="46"/>
    </row>
    <row r="120">
      <c r="B120" s="46"/>
    </row>
    <row r="121">
      <c r="B121" s="46"/>
    </row>
    <row r="122">
      <c r="B122" s="46"/>
    </row>
    <row r="123">
      <c r="B123" s="46"/>
    </row>
    <row r="124">
      <c r="B124" s="46"/>
    </row>
    <row r="125">
      <c r="B125" s="46"/>
    </row>
    <row r="126">
      <c r="B126" s="46"/>
    </row>
    <row r="127">
      <c r="B127" s="46"/>
    </row>
    <row r="128">
      <c r="B128" s="46"/>
    </row>
    <row r="129">
      <c r="B129" s="46"/>
    </row>
    <row r="130">
      <c r="B130" s="46"/>
    </row>
    <row r="131">
      <c r="B131" s="46"/>
    </row>
    <row r="132">
      <c r="B132" s="46"/>
    </row>
    <row r="133">
      <c r="B133" s="46"/>
    </row>
    <row r="134">
      <c r="B134" s="46"/>
    </row>
    <row r="135">
      <c r="B135" s="46"/>
    </row>
    <row r="136">
      <c r="B136" s="46"/>
    </row>
    <row r="137">
      <c r="B137" s="46"/>
    </row>
    <row r="138">
      <c r="B138" s="46"/>
    </row>
    <row r="139">
      <c r="B139" s="46"/>
    </row>
    <row r="140">
      <c r="B140" s="46"/>
    </row>
    <row r="141">
      <c r="B141" s="46"/>
    </row>
    <row r="142">
      <c r="B142" s="46"/>
    </row>
    <row r="143">
      <c r="B143" s="46"/>
    </row>
    <row r="144">
      <c r="B144" s="46"/>
    </row>
    <row r="145">
      <c r="B145" s="46"/>
    </row>
    <row r="146">
      <c r="B146" s="46"/>
    </row>
    <row r="147">
      <c r="B147" s="46"/>
    </row>
    <row r="148">
      <c r="B148" s="46"/>
    </row>
    <row r="149">
      <c r="B149" s="46"/>
    </row>
    <row r="150">
      <c r="B150" s="46"/>
    </row>
    <row r="151">
      <c r="B151" s="46"/>
    </row>
    <row r="152">
      <c r="B152" s="46"/>
    </row>
    <row r="153">
      <c r="B153" s="46"/>
    </row>
    <row r="154">
      <c r="B154" s="46"/>
    </row>
    <row r="155">
      <c r="B155" s="46"/>
    </row>
    <row r="156">
      <c r="B156" s="46"/>
    </row>
    <row r="157">
      <c r="B157" s="46"/>
    </row>
    <row r="158">
      <c r="B158" s="46"/>
    </row>
    <row r="159">
      <c r="B159" s="46"/>
    </row>
    <row r="160">
      <c r="B160" s="46"/>
    </row>
    <row r="161">
      <c r="B161" s="46"/>
    </row>
    <row r="162">
      <c r="B162" s="46"/>
    </row>
    <row r="163">
      <c r="B163" s="46"/>
    </row>
    <row r="164">
      <c r="B164" s="46"/>
    </row>
    <row r="165">
      <c r="B165" s="46"/>
    </row>
    <row r="166">
      <c r="B166" s="46"/>
    </row>
    <row r="167">
      <c r="B167" s="46"/>
    </row>
    <row r="168">
      <c r="B168" s="46"/>
    </row>
    <row r="169">
      <c r="B169" s="46"/>
    </row>
    <row r="170">
      <c r="B170" s="46"/>
    </row>
    <row r="171">
      <c r="B171" s="46"/>
    </row>
    <row r="172">
      <c r="B172" s="46"/>
    </row>
    <row r="173">
      <c r="B173" s="46"/>
    </row>
    <row r="174">
      <c r="B174" s="46"/>
    </row>
    <row r="175">
      <c r="B175" s="46"/>
    </row>
    <row r="176">
      <c r="B176" s="46"/>
    </row>
    <row r="177">
      <c r="B177" s="46"/>
    </row>
    <row r="178">
      <c r="B178" s="46"/>
    </row>
    <row r="179">
      <c r="B179" s="46"/>
    </row>
    <row r="180">
      <c r="B180" s="46"/>
    </row>
    <row r="181">
      <c r="B181" s="46"/>
    </row>
    <row r="182">
      <c r="B182" s="46"/>
    </row>
    <row r="183">
      <c r="B183" s="46"/>
    </row>
    <row r="184">
      <c r="B184" s="46"/>
    </row>
    <row r="185">
      <c r="B185" s="46"/>
    </row>
    <row r="186">
      <c r="B186" s="46"/>
    </row>
    <row r="187">
      <c r="B187" s="46"/>
    </row>
    <row r="188">
      <c r="B188" s="46"/>
    </row>
    <row r="189">
      <c r="B189" s="46"/>
    </row>
    <row r="190">
      <c r="B190" s="46"/>
    </row>
    <row r="191">
      <c r="B191" s="46"/>
    </row>
    <row r="192">
      <c r="B192" s="46"/>
    </row>
    <row r="193">
      <c r="B193" s="46"/>
    </row>
    <row r="194">
      <c r="B194" s="46"/>
    </row>
    <row r="195">
      <c r="B195" s="46"/>
    </row>
    <row r="196">
      <c r="B196" s="46"/>
    </row>
    <row r="197">
      <c r="B197" s="46"/>
    </row>
    <row r="198">
      <c r="B198" s="46"/>
    </row>
    <row r="199">
      <c r="B199" s="46"/>
    </row>
    <row r="200">
      <c r="B200" s="46"/>
    </row>
    <row r="201">
      <c r="B201" s="46"/>
    </row>
    <row r="202">
      <c r="B202" s="46"/>
    </row>
    <row r="203">
      <c r="B203" s="46"/>
    </row>
    <row r="204">
      <c r="B204" s="46"/>
    </row>
    <row r="205">
      <c r="B205" s="46"/>
    </row>
    <row r="206">
      <c r="B206" s="46"/>
    </row>
    <row r="207">
      <c r="B207" s="46"/>
    </row>
    <row r="208">
      <c r="B208" s="46"/>
    </row>
    <row r="209">
      <c r="B209" s="46"/>
    </row>
    <row r="210">
      <c r="B210" s="46"/>
    </row>
    <row r="211">
      <c r="B211" s="46"/>
    </row>
    <row r="212">
      <c r="B212" s="46"/>
    </row>
    <row r="213">
      <c r="B213" s="46"/>
    </row>
    <row r="214">
      <c r="B214" s="46"/>
    </row>
    <row r="215">
      <c r="B215" s="46"/>
    </row>
    <row r="216">
      <c r="B216" s="46"/>
    </row>
    <row r="217">
      <c r="B217" s="46"/>
    </row>
    <row r="218">
      <c r="B218" s="46"/>
    </row>
    <row r="219">
      <c r="B219" s="46"/>
    </row>
    <row r="220">
      <c r="B220" s="46"/>
    </row>
    <row r="221">
      <c r="B221" s="46"/>
    </row>
    <row r="222">
      <c r="B222" s="46"/>
    </row>
    <row r="223">
      <c r="B223" s="46"/>
    </row>
    <row r="224">
      <c r="B224" s="46"/>
    </row>
    <row r="225">
      <c r="B225" s="46"/>
    </row>
    <row r="226">
      <c r="B226" s="46"/>
    </row>
    <row r="227">
      <c r="B227" s="46"/>
    </row>
    <row r="228">
      <c r="B228" s="46"/>
    </row>
    <row r="229">
      <c r="B229" s="46"/>
    </row>
    <row r="230">
      <c r="B230" s="46"/>
    </row>
    <row r="231">
      <c r="B231" s="46"/>
    </row>
    <row r="232">
      <c r="B232" s="46"/>
    </row>
    <row r="233">
      <c r="B233" s="46"/>
    </row>
    <row r="234">
      <c r="B234" s="46"/>
    </row>
    <row r="235">
      <c r="B235" s="46"/>
    </row>
    <row r="236">
      <c r="B236" s="46"/>
    </row>
    <row r="237">
      <c r="B237" s="46"/>
    </row>
    <row r="238">
      <c r="B238" s="46"/>
    </row>
    <row r="239">
      <c r="B239" s="46"/>
    </row>
    <row r="240">
      <c r="B240" s="46"/>
    </row>
    <row r="241">
      <c r="B241" s="46"/>
    </row>
    <row r="242">
      <c r="B242" s="46"/>
    </row>
    <row r="243">
      <c r="B243" s="46"/>
    </row>
    <row r="244">
      <c r="B244" s="46"/>
    </row>
    <row r="245">
      <c r="B245" s="46"/>
    </row>
    <row r="246">
      <c r="B246" s="46"/>
    </row>
    <row r="247">
      <c r="B247" s="46"/>
    </row>
    <row r="248">
      <c r="B248" s="46"/>
    </row>
    <row r="249">
      <c r="B249" s="46"/>
    </row>
    <row r="250">
      <c r="B250" s="46"/>
    </row>
    <row r="251">
      <c r="B251" s="46"/>
    </row>
    <row r="252">
      <c r="B252" s="46"/>
    </row>
    <row r="253">
      <c r="B253" s="46"/>
    </row>
    <row r="254">
      <c r="B254" s="46"/>
    </row>
    <row r="255">
      <c r="B255" s="46"/>
    </row>
    <row r="256">
      <c r="B256" s="46"/>
    </row>
    <row r="257">
      <c r="B257" s="46"/>
    </row>
    <row r="258">
      <c r="B258" s="46"/>
    </row>
    <row r="259">
      <c r="B259" s="46"/>
    </row>
    <row r="260">
      <c r="B260" s="46"/>
    </row>
    <row r="261">
      <c r="B261" s="46"/>
    </row>
    <row r="262">
      <c r="B262" s="46"/>
    </row>
    <row r="263">
      <c r="B263" s="46"/>
    </row>
    <row r="264">
      <c r="B264" s="46"/>
    </row>
    <row r="265">
      <c r="B265" s="46"/>
    </row>
    <row r="266">
      <c r="B266" s="46"/>
    </row>
    <row r="267">
      <c r="B267" s="46"/>
    </row>
    <row r="268">
      <c r="B268" s="46"/>
    </row>
    <row r="269">
      <c r="B269" s="46"/>
    </row>
    <row r="270">
      <c r="B270" s="46"/>
    </row>
    <row r="271">
      <c r="B271" s="46"/>
    </row>
    <row r="272">
      <c r="B272" s="46"/>
    </row>
    <row r="273">
      <c r="B273" s="46"/>
    </row>
    <row r="274">
      <c r="B274" s="46"/>
    </row>
    <row r="275">
      <c r="B275" s="46"/>
    </row>
    <row r="276">
      <c r="B276" s="46"/>
    </row>
    <row r="277">
      <c r="B277" s="46"/>
    </row>
    <row r="278">
      <c r="B278" s="46"/>
    </row>
    <row r="279">
      <c r="B279" s="46"/>
    </row>
    <row r="280">
      <c r="B280" s="46"/>
    </row>
    <row r="281">
      <c r="B281" s="46"/>
    </row>
    <row r="282">
      <c r="B282" s="46"/>
    </row>
    <row r="283">
      <c r="B283" s="46"/>
    </row>
    <row r="284">
      <c r="B284" s="46"/>
    </row>
    <row r="285">
      <c r="B285" s="46"/>
    </row>
    <row r="286">
      <c r="B286" s="46"/>
    </row>
    <row r="287">
      <c r="B287" s="46"/>
    </row>
    <row r="288">
      <c r="B288" s="46"/>
    </row>
    <row r="289">
      <c r="B289" s="46"/>
    </row>
    <row r="290">
      <c r="B290" s="46"/>
    </row>
    <row r="291">
      <c r="B291" s="46"/>
    </row>
    <row r="292">
      <c r="B292" s="46"/>
    </row>
    <row r="293">
      <c r="B293" s="46"/>
    </row>
    <row r="294">
      <c r="B294" s="46"/>
    </row>
    <row r="295">
      <c r="B295" s="46"/>
    </row>
    <row r="296">
      <c r="B296" s="46"/>
    </row>
    <row r="297">
      <c r="B297" s="46"/>
    </row>
    <row r="298">
      <c r="B298" s="46"/>
    </row>
    <row r="299">
      <c r="B299" s="46"/>
    </row>
    <row r="300">
      <c r="B300" s="46"/>
    </row>
    <row r="301">
      <c r="B301" s="46"/>
    </row>
    <row r="302">
      <c r="B302" s="46"/>
    </row>
    <row r="303">
      <c r="B303" s="46"/>
    </row>
    <row r="304">
      <c r="B304" s="46"/>
    </row>
    <row r="305">
      <c r="B305" s="46"/>
    </row>
    <row r="306">
      <c r="B306" s="46"/>
    </row>
    <row r="307">
      <c r="B307" s="46"/>
    </row>
    <row r="308">
      <c r="B308" s="46"/>
    </row>
    <row r="309">
      <c r="B309" s="46"/>
    </row>
    <row r="310">
      <c r="B310" s="46"/>
    </row>
    <row r="311">
      <c r="B311" s="46"/>
    </row>
    <row r="312">
      <c r="B312" s="46"/>
    </row>
    <row r="313">
      <c r="B313" s="46"/>
    </row>
    <row r="314">
      <c r="B314" s="46"/>
    </row>
    <row r="315">
      <c r="B315" s="46"/>
    </row>
    <row r="316">
      <c r="B316" s="46"/>
    </row>
    <row r="317">
      <c r="B317" s="46"/>
    </row>
    <row r="318">
      <c r="B318" s="46"/>
    </row>
    <row r="319">
      <c r="B319" s="46"/>
    </row>
    <row r="320">
      <c r="B320" s="46"/>
    </row>
    <row r="321">
      <c r="B321" s="46"/>
    </row>
    <row r="322">
      <c r="B322" s="46"/>
    </row>
    <row r="323">
      <c r="B323" s="46"/>
    </row>
    <row r="324">
      <c r="B324" s="46"/>
    </row>
    <row r="325">
      <c r="B325" s="46"/>
    </row>
    <row r="326">
      <c r="B326" s="46"/>
    </row>
    <row r="327">
      <c r="B327" s="46"/>
    </row>
    <row r="328">
      <c r="B328" s="46"/>
    </row>
    <row r="329">
      <c r="B329" s="46"/>
    </row>
    <row r="330">
      <c r="B330" s="46"/>
    </row>
    <row r="331">
      <c r="B331" s="46"/>
    </row>
    <row r="332">
      <c r="B332" s="46"/>
    </row>
    <row r="333">
      <c r="B333" s="46"/>
    </row>
    <row r="334">
      <c r="B334" s="46"/>
    </row>
    <row r="335">
      <c r="B335" s="46"/>
    </row>
    <row r="336">
      <c r="B336" s="46"/>
    </row>
    <row r="337">
      <c r="B337" s="46"/>
    </row>
    <row r="338">
      <c r="B338" s="46"/>
    </row>
    <row r="339">
      <c r="B339" s="46"/>
    </row>
    <row r="340">
      <c r="B340" s="46"/>
    </row>
    <row r="341">
      <c r="B341" s="46"/>
    </row>
    <row r="342">
      <c r="B342" s="46"/>
    </row>
    <row r="343">
      <c r="B343" s="46"/>
    </row>
    <row r="344">
      <c r="B344" s="46"/>
    </row>
    <row r="345">
      <c r="B345" s="46"/>
    </row>
    <row r="346">
      <c r="B346" s="46"/>
    </row>
    <row r="347">
      <c r="B347" s="46"/>
    </row>
    <row r="348">
      <c r="B348" s="46"/>
    </row>
    <row r="349">
      <c r="B349" s="46"/>
    </row>
    <row r="350">
      <c r="B350" s="46"/>
    </row>
    <row r="351">
      <c r="B351" s="46"/>
    </row>
    <row r="352">
      <c r="B352" s="46"/>
    </row>
    <row r="353">
      <c r="B353" s="46"/>
    </row>
    <row r="354">
      <c r="B354" s="46"/>
    </row>
    <row r="355">
      <c r="B355" s="46"/>
    </row>
    <row r="356">
      <c r="B356" s="46"/>
    </row>
    <row r="357">
      <c r="B357" s="46"/>
    </row>
    <row r="358">
      <c r="B358" s="46"/>
    </row>
    <row r="359">
      <c r="B359" s="46"/>
    </row>
    <row r="360">
      <c r="B360" s="46"/>
    </row>
    <row r="361">
      <c r="B361" s="46"/>
    </row>
    <row r="362">
      <c r="B362" s="46"/>
    </row>
    <row r="363">
      <c r="B363" s="46"/>
    </row>
    <row r="364">
      <c r="B364" s="46"/>
    </row>
    <row r="365">
      <c r="B365" s="46"/>
    </row>
    <row r="366">
      <c r="B366" s="46"/>
    </row>
    <row r="367">
      <c r="B367" s="46"/>
    </row>
    <row r="368">
      <c r="B368" s="46"/>
    </row>
    <row r="369">
      <c r="B369" s="46"/>
    </row>
    <row r="370">
      <c r="B370" s="46"/>
    </row>
    <row r="371">
      <c r="B371" s="46"/>
    </row>
    <row r="372">
      <c r="B372" s="46"/>
    </row>
    <row r="373">
      <c r="B373" s="46"/>
    </row>
    <row r="374">
      <c r="B374" s="46"/>
    </row>
    <row r="375">
      <c r="B375" s="46"/>
    </row>
    <row r="376">
      <c r="B376" s="46"/>
    </row>
    <row r="377">
      <c r="B377" s="46"/>
    </row>
    <row r="378">
      <c r="B378" s="46"/>
    </row>
    <row r="379">
      <c r="B379" s="46"/>
    </row>
    <row r="380">
      <c r="B380" s="46"/>
    </row>
    <row r="381">
      <c r="B381" s="46"/>
    </row>
    <row r="382">
      <c r="B382" s="46"/>
    </row>
    <row r="383">
      <c r="B383" s="46"/>
    </row>
    <row r="384">
      <c r="B384" s="46"/>
    </row>
    <row r="385">
      <c r="B385" s="46"/>
    </row>
    <row r="386">
      <c r="B386" s="46"/>
    </row>
    <row r="387">
      <c r="B387" s="46"/>
    </row>
    <row r="388">
      <c r="B388" s="46"/>
    </row>
    <row r="389">
      <c r="B389" s="46"/>
    </row>
    <row r="390">
      <c r="B390" s="46"/>
    </row>
    <row r="391">
      <c r="B391" s="46"/>
    </row>
    <row r="392">
      <c r="B392" s="46"/>
    </row>
    <row r="393">
      <c r="B393" s="46"/>
    </row>
    <row r="394">
      <c r="B394" s="46"/>
    </row>
    <row r="395">
      <c r="B395" s="46"/>
    </row>
    <row r="396">
      <c r="B396" s="46"/>
    </row>
    <row r="397">
      <c r="B397" s="46"/>
    </row>
    <row r="398">
      <c r="B398" s="46"/>
    </row>
    <row r="399">
      <c r="B399" s="46"/>
    </row>
    <row r="400">
      <c r="B400" s="46"/>
    </row>
    <row r="401">
      <c r="B401" s="46"/>
    </row>
    <row r="402">
      <c r="B402" s="46"/>
    </row>
    <row r="403">
      <c r="B403" s="46"/>
    </row>
    <row r="404">
      <c r="B404" s="46"/>
    </row>
    <row r="405">
      <c r="B405" s="46"/>
    </row>
    <row r="406">
      <c r="B406" s="46"/>
    </row>
    <row r="407">
      <c r="B407" s="46"/>
    </row>
    <row r="408">
      <c r="B408" s="46"/>
    </row>
    <row r="409">
      <c r="B409" s="46"/>
    </row>
    <row r="410">
      <c r="B410" s="46"/>
    </row>
    <row r="411">
      <c r="B411" s="46"/>
    </row>
    <row r="412">
      <c r="B412" s="46"/>
    </row>
    <row r="413">
      <c r="B413" s="46"/>
    </row>
    <row r="414">
      <c r="B414" s="46"/>
    </row>
    <row r="415">
      <c r="B415" s="46"/>
    </row>
    <row r="416">
      <c r="B416" s="46"/>
    </row>
    <row r="417">
      <c r="B417" s="46"/>
    </row>
    <row r="418">
      <c r="B418" s="46"/>
    </row>
    <row r="419">
      <c r="B419" s="46"/>
    </row>
    <row r="420">
      <c r="B420" s="46"/>
    </row>
    <row r="421">
      <c r="B421" s="46"/>
    </row>
    <row r="422">
      <c r="B422" s="46"/>
    </row>
    <row r="423">
      <c r="B423" s="46"/>
    </row>
    <row r="424">
      <c r="B424" s="46"/>
    </row>
    <row r="425">
      <c r="B425" s="46"/>
    </row>
    <row r="426">
      <c r="B426" s="46"/>
    </row>
    <row r="427">
      <c r="B427" s="46"/>
    </row>
    <row r="428">
      <c r="B428" s="46"/>
    </row>
    <row r="429">
      <c r="B429" s="46"/>
    </row>
    <row r="430">
      <c r="B430" s="46"/>
    </row>
    <row r="431">
      <c r="B431" s="46"/>
    </row>
    <row r="432">
      <c r="B432" s="46"/>
    </row>
    <row r="433">
      <c r="B433" s="46"/>
    </row>
    <row r="434">
      <c r="B434" s="46"/>
    </row>
    <row r="435">
      <c r="B435" s="46"/>
    </row>
    <row r="436">
      <c r="B436" s="46"/>
    </row>
    <row r="437">
      <c r="B437" s="46"/>
    </row>
    <row r="438">
      <c r="B438" s="46"/>
    </row>
    <row r="439">
      <c r="B439" s="46"/>
    </row>
    <row r="440">
      <c r="B440" s="46"/>
    </row>
    <row r="441">
      <c r="B441" s="46"/>
    </row>
    <row r="442">
      <c r="B442" s="46"/>
    </row>
    <row r="443">
      <c r="B443" s="46"/>
    </row>
    <row r="444">
      <c r="B444" s="46"/>
    </row>
    <row r="445">
      <c r="B445" s="46"/>
    </row>
    <row r="446">
      <c r="B446" s="46"/>
    </row>
    <row r="447">
      <c r="B447" s="46"/>
    </row>
    <row r="448">
      <c r="B448" s="46"/>
    </row>
    <row r="449">
      <c r="B449" s="46"/>
    </row>
    <row r="450">
      <c r="B450" s="46"/>
    </row>
    <row r="451">
      <c r="B451" s="46"/>
    </row>
    <row r="452">
      <c r="B452" s="46"/>
    </row>
    <row r="453">
      <c r="B453" s="46"/>
    </row>
    <row r="454">
      <c r="B454" s="46"/>
    </row>
    <row r="455">
      <c r="B455" s="46"/>
    </row>
    <row r="456">
      <c r="B456" s="46"/>
    </row>
    <row r="457">
      <c r="B457" s="46"/>
    </row>
    <row r="458">
      <c r="B458" s="46"/>
    </row>
    <row r="459">
      <c r="B459" s="46"/>
    </row>
    <row r="460">
      <c r="B460" s="46"/>
    </row>
    <row r="461">
      <c r="B461" s="46"/>
    </row>
    <row r="462">
      <c r="B462" s="46"/>
    </row>
    <row r="463">
      <c r="B463" s="46"/>
    </row>
    <row r="464">
      <c r="B464" s="46"/>
    </row>
    <row r="465">
      <c r="B465" s="46"/>
    </row>
    <row r="466">
      <c r="B466" s="46"/>
    </row>
    <row r="467">
      <c r="B467" s="46"/>
    </row>
    <row r="468">
      <c r="B468" s="46"/>
    </row>
    <row r="469">
      <c r="B469" s="46"/>
    </row>
    <row r="470">
      <c r="B470" s="46"/>
    </row>
    <row r="471">
      <c r="B471" s="46"/>
    </row>
    <row r="472">
      <c r="B472" s="46"/>
    </row>
    <row r="473">
      <c r="B473" s="46"/>
    </row>
    <row r="474">
      <c r="B474" s="46"/>
    </row>
    <row r="475">
      <c r="B475" s="46"/>
    </row>
    <row r="476">
      <c r="B476" s="46"/>
    </row>
    <row r="477">
      <c r="B477" s="46"/>
    </row>
    <row r="478">
      <c r="B478" s="46"/>
    </row>
    <row r="479">
      <c r="B479" s="46"/>
    </row>
    <row r="480">
      <c r="B480" s="46"/>
    </row>
    <row r="481">
      <c r="B481" s="46"/>
    </row>
    <row r="482">
      <c r="B482" s="46"/>
    </row>
    <row r="483">
      <c r="B483" s="46"/>
    </row>
    <row r="484">
      <c r="B484" s="46"/>
    </row>
    <row r="485">
      <c r="B485" s="46"/>
    </row>
    <row r="486">
      <c r="B486" s="46"/>
    </row>
    <row r="487">
      <c r="B487" s="46"/>
    </row>
    <row r="488">
      <c r="B488" s="46"/>
    </row>
    <row r="489">
      <c r="B489" s="46"/>
    </row>
    <row r="490">
      <c r="B490" s="46"/>
    </row>
    <row r="491">
      <c r="B491" s="46"/>
    </row>
    <row r="492">
      <c r="B492" s="46"/>
    </row>
    <row r="493">
      <c r="B493" s="46"/>
    </row>
    <row r="494">
      <c r="B494" s="46"/>
    </row>
    <row r="495">
      <c r="B495" s="46"/>
    </row>
    <row r="496">
      <c r="B496" s="46"/>
    </row>
    <row r="497">
      <c r="B497" s="46"/>
    </row>
    <row r="498">
      <c r="B498" s="46"/>
    </row>
    <row r="499">
      <c r="B499" s="46"/>
    </row>
    <row r="500">
      <c r="B500" s="46"/>
    </row>
    <row r="501">
      <c r="B501" s="46"/>
    </row>
    <row r="502">
      <c r="B502" s="46"/>
    </row>
    <row r="503">
      <c r="B503" s="46"/>
    </row>
    <row r="504">
      <c r="B504" s="46"/>
    </row>
    <row r="505">
      <c r="B505" s="46"/>
    </row>
    <row r="506">
      <c r="B506" s="46"/>
    </row>
    <row r="507">
      <c r="B507" s="46"/>
    </row>
    <row r="508">
      <c r="B508" s="46"/>
    </row>
    <row r="509">
      <c r="B509" s="46"/>
    </row>
    <row r="510">
      <c r="B510" s="46"/>
    </row>
    <row r="511">
      <c r="B511" s="46"/>
    </row>
    <row r="512">
      <c r="B512" s="46"/>
    </row>
    <row r="513">
      <c r="B513" s="46"/>
    </row>
    <row r="514">
      <c r="B514" s="46"/>
    </row>
    <row r="515">
      <c r="B515" s="46"/>
    </row>
    <row r="516">
      <c r="B516" s="46"/>
    </row>
    <row r="517">
      <c r="B517" s="46"/>
    </row>
    <row r="518">
      <c r="B518" s="46"/>
    </row>
    <row r="519">
      <c r="B519" s="46"/>
    </row>
    <row r="520">
      <c r="B520" s="46"/>
    </row>
    <row r="521">
      <c r="B521" s="46"/>
    </row>
    <row r="522">
      <c r="B522" s="46"/>
    </row>
    <row r="523">
      <c r="B523" s="46"/>
    </row>
    <row r="524">
      <c r="B524" s="46"/>
    </row>
    <row r="525">
      <c r="B525" s="46"/>
    </row>
    <row r="526">
      <c r="B526" s="46"/>
    </row>
    <row r="527">
      <c r="B527" s="46"/>
    </row>
    <row r="528">
      <c r="B528" s="46"/>
    </row>
    <row r="529">
      <c r="B529" s="46"/>
    </row>
    <row r="530">
      <c r="B530" s="46"/>
    </row>
    <row r="531">
      <c r="B531" s="46"/>
    </row>
    <row r="532">
      <c r="B532" s="46"/>
    </row>
    <row r="533">
      <c r="B533" s="46"/>
    </row>
    <row r="534">
      <c r="B534" s="46"/>
    </row>
    <row r="535">
      <c r="B535" s="46"/>
    </row>
    <row r="536">
      <c r="B536" s="46"/>
    </row>
    <row r="537">
      <c r="B537" s="46"/>
    </row>
    <row r="538">
      <c r="B538" s="46"/>
    </row>
    <row r="539">
      <c r="B539" s="46"/>
    </row>
    <row r="540">
      <c r="B540" s="46"/>
    </row>
    <row r="541">
      <c r="B541" s="46"/>
    </row>
    <row r="542">
      <c r="B542" s="46"/>
    </row>
    <row r="543">
      <c r="B543" s="46"/>
    </row>
    <row r="544">
      <c r="B544" s="46"/>
    </row>
    <row r="545">
      <c r="B545" s="46"/>
    </row>
    <row r="546">
      <c r="B546" s="46"/>
    </row>
    <row r="547">
      <c r="B547" s="46"/>
    </row>
    <row r="548">
      <c r="B548" s="46"/>
    </row>
    <row r="549">
      <c r="B549" s="46"/>
    </row>
    <row r="550">
      <c r="B550" s="46"/>
    </row>
    <row r="551">
      <c r="B551" s="46"/>
    </row>
    <row r="552">
      <c r="B552" s="46"/>
    </row>
    <row r="553">
      <c r="B553" s="46"/>
    </row>
    <row r="554">
      <c r="B554" s="46"/>
    </row>
    <row r="555">
      <c r="B555" s="46"/>
    </row>
    <row r="556">
      <c r="B556" s="46"/>
    </row>
    <row r="557">
      <c r="B557" s="46"/>
    </row>
    <row r="558">
      <c r="B558" s="46"/>
    </row>
    <row r="559">
      <c r="B559" s="46"/>
    </row>
    <row r="560">
      <c r="B560" s="46"/>
    </row>
    <row r="561">
      <c r="B561" s="46"/>
    </row>
    <row r="562">
      <c r="B562" s="46"/>
    </row>
    <row r="563">
      <c r="B563" s="46"/>
    </row>
    <row r="564">
      <c r="B564" s="46"/>
    </row>
    <row r="565">
      <c r="B565" s="46"/>
    </row>
    <row r="566">
      <c r="B566" s="46"/>
    </row>
    <row r="567">
      <c r="B567" s="46"/>
    </row>
    <row r="568">
      <c r="B568" s="46"/>
    </row>
    <row r="569">
      <c r="B569" s="46"/>
    </row>
    <row r="570">
      <c r="B570" s="46"/>
    </row>
    <row r="571">
      <c r="B571" s="46"/>
    </row>
    <row r="572">
      <c r="B572" s="46"/>
    </row>
    <row r="573">
      <c r="B573" s="46"/>
    </row>
    <row r="574">
      <c r="B574" s="46"/>
    </row>
    <row r="575">
      <c r="B575" s="46"/>
    </row>
    <row r="576">
      <c r="B576" s="46"/>
    </row>
    <row r="577">
      <c r="B577" s="46"/>
    </row>
    <row r="578">
      <c r="B578" s="46"/>
    </row>
    <row r="579">
      <c r="B579" s="46"/>
    </row>
    <row r="580">
      <c r="B580" s="46"/>
    </row>
    <row r="581">
      <c r="B581" s="46"/>
    </row>
    <row r="582">
      <c r="B582" s="46"/>
    </row>
    <row r="583">
      <c r="B583" s="46"/>
    </row>
    <row r="584">
      <c r="B584" s="46"/>
    </row>
    <row r="585">
      <c r="B585" s="46"/>
    </row>
    <row r="586">
      <c r="B586" s="46"/>
    </row>
    <row r="587">
      <c r="B587" s="46"/>
    </row>
    <row r="588">
      <c r="B588" s="46"/>
    </row>
    <row r="589">
      <c r="B589" s="46"/>
    </row>
    <row r="590">
      <c r="B590" s="46"/>
    </row>
    <row r="591">
      <c r="B591" s="46"/>
    </row>
    <row r="592">
      <c r="B592" s="46"/>
    </row>
    <row r="593">
      <c r="B593" s="46"/>
    </row>
    <row r="594">
      <c r="B594" s="46"/>
    </row>
    <row r="595">
      <c r="B595" s="46"/>
    </row>
    <row r="596">
      <c r="B596" s="46"/>
    </row>
    <row r="597">
      <c r="B597" s="46"/>
    </row>
    <row r="598">
      <c r="B598" s="46"/>
    </row>
    <row r="599">
      <c r="B599" s="46"/>
    </row>
    <row r="600">
      <c r="B600" s="46"/>
    </row>
    <row r="601">
      <c r="B601" s="46"/>
    </row>
    <row r="602">
      <c r="B602" s="46"/>
    </row>
    <row r="603">
      <c r="B603" s="46"/>
    </row>
    <row r="604">
      <c r="B604" s="46"/>
    </row>
    <row r="605">
      <c r="B605" s="46"/>
    </row>
    <row r="606">
      <c r="B606" s="46"/>
    </row>
    <row r="607">
      <c r="B607" s="46"/>
    </row>
    <row r="608">
      <c r="B608" s="46"/>
    </row>
    <row r="609">
      <c r="B609" s="46"/>
    </row>
    <row r="610">
      <c r="B610" s="46"/>
    </row>
    <row r="611">
      <c r="B611" s="46"/>
    </row>
    <row r="612">
      <c r="B612" s="46"/>
    </row>
    <row r="613">
      <c r="B613" s="46"/>
    </row>
    <row r="614">
      <c r="B614" s="46"/>
    </row>
    <row r="615">
      <c r="B615" s="46"/>
    </row>
    <row r="616">
      <c r="B616" s="46"/>
    </row>
    <row r="617">
      <c r="B617" s="46"/>
    </row>
    <row r="618">
      <c r="B618" s="46"/>
    </row>
    <row r="619">
      <c r="B619" s="46"/>
    </row>
    <row r="620">
      <c r="B620" s="46"/>
    </row>
    <row r="621">
      <c r="B621" s="46"/>
    </row>
    <row r="622">
      <c r="B622" s="46"/>
    </row>
    <row r="623">
      <c r="B623" s="46"/>
    </row>
    <row r="624">
      <c r="B624" s="46"/>
    </row>
    <row r="625">
      <c r="B625" s="46"/>
    </row>
    <row r="626">
      <c r="B626" s="46"/>
    </row>
    <row r="627">
      <c r="B627" s="46"/>
    </row>
    <row r="628">
      <c r="B628" s="46"/>
    </row>
    <row r="629">
      <c r="B629" s="46"/>
    </row>
    <row r="630">
      <c r="B630" s="46"/>
    </row>
    <row r="631">
      <c r="B631" s="46"/>
    </row>
    <row r="632">
      <c r="B632" s="46"/>
    </row>
    <row r="633">
      <c r="B633" s="46"/>
    </row>
    <row r="634">
      <c r="B634" s="46"/>
    </row>
    <row r="635">
      <c r="B635" s="46"/>
    </row>
    <row r="636">
      <c r="B636" s="46"/>
    </row>
    <row r="637">
      <c r="B637" s="46"/>
    </row>
    <row r="638">
      <c r="B638" s="46"/>
    </row>
    <row r="639">
      <c r="B639" s="46"/>
    </row>
    <row r="640">
      <c r="B640" s="46"/>
    </row>
    <row r="641">
      <c r="B641" s="46"/>
    </row>
    <row r="642">
      <c r="B642" s="46"/>
    </row>
    <row r="643">
      <c r="B643" s="46"/>
    </row>
    <row r="644">
      <c r="B644" s="46"/>
    </row>
    <row r="645">
      <c r="B645" s="46"/>
    </row>
    <row r="646">
      <c r="B646" s="46"/>
    </row>
    <row r="647">
      <c r="B647" s="46"/>
    </row>
    <row r="648">
      <c r="B648" s="46"/>
    </row>
    <row r="649">
      <c r="B649" s="46"/>
    </row>
    <row r="650">
      <c r="B650" s="46"/>
    </row>
    <row r="651">
      <c r="B651" s="46"/>
    </row>
    <row r="652">
      <c r="B652" s="46"/>
    </row>
    <row r="653">
      <c r="B653" s="46"/>
    </row>
    <row r="654">
      <c r="B654" s="46"/>
    </row>
    <row r="655">
      <c r="B655" s="46"/>
    </row>
    <row r="656">
      <c r="B656" s="46"/>
    </row>
    <row r="657">
      <c r="B657" s="46"/>
    </row>
    <row r="658">
      <c r="B658" s="46"/>
    </row>
    <row r="659">
      <c r="B659" s="46"/>
    </row>
    <row r="660">
      <c r="B660" s="46"/>
    </row>
    <row r="661">
      <c r="B661" s="46"/>
    </row>
    <row r="662">
      <c r="B662" s="46"/>
    </row>
    <row r="663">
      <c r="B663" s="46"/>
    </row>
    <row r="664">
      <c r="B664" s="46"/>
    </row>
    <row r="665">
      <c r="B665" s="46"/>
    </row>
    <row r="666">
      <c r="B666" s="46"/>
    </row>
    <row r="667">
      <c r="B667" s="46"/>
    </row>
    <row r="668">
      <c r="B668" s="46"/>
    </row>
    <row r="669">
      <c r="B669" s="46"/>
    </row>
    <row r="670">
      <c r="B670" s="46"/>
    </row>
    <row r="671">
      <c r="B671" s="46"/>
    </row>
    <row r="672">
      <c r="B672" s="46"/>
    </row>
    <row r="673">
      <c r="B673" s="46"/>
    </row>
    <row r="674">
      <c r="B674" s="46"/>
    </row>
    <row r="675">
      <c r="B675" s="46"/>
    </row>
    <row r="676">
      <c r="B676" s="46"/>
    </row>
    <row r="677">
      <c r="B677" s="46"/>
    </row>
    <row r="678">
      <c r="B678" s="46"/>
    </row>
    <row r="679">
      <c r="B679" s="46"/>
    </row>
    <row r="680">
      <c r="B680" s="46"/>
    </row>
    <row r="681">
      <c r="B681" s="46"/>
    </row>
    <row r="682">
      <c r="B682" s="46"/>
    </row>
    <row r="683">
      <c r="B683" s="46"/>
    </row>
    <row r="684">
      <c r="B684" s="46"/>
    </row>
    <row r="685">
      <c r="B685" s="46"/>
    </row>
    <row r="686">
      <c r="B686" s="46"/>
    </row>
    <row r="687">
      <c r="B687" s="46"/>
    </row>
    <row r="688">
      <c r="B688" s="46"/>
    </row>
    <row r="689">
      <c r="B689" s="46"/>
    </row>
    <row r="690">
      <c r="B690" s="46"/>
    </row>
    <row r="691">
      <c r="B691" s="46"/>
    </row>
    <row r="692">
      <c r="B692" s="46"/>
    </row>
    <row r="693">
      <c r="B693" s="46"/>
    </row>
    <row r="694">
      <c r="B694" s="46"/>
    </row>
    <row r="695">
      <c r="B695" s="46"/>
    </row>
    <row r="696">
      <c r="B696" s="46"/>
    </row>
    <row r="697">
      <c r="B697" s="46"/>
    </row>
    <row r="698">
      <c r="B698" s="46"/>
    </row>
    <row r="699">
      <c r="B699" s="46"/>
    </row>
    <row r="700">
      <c r="B700" s="46"/>
    </row>
    <row r="701">
      <c r="B701" s="46"/>
    </row>
    <row r="702">
      <c r="B702" s="46"/>
    </row>
    <row r="703">
      <c r="B703" s="46"/>
    </row>
    <row r="704">
      <c r="B704" s="46"/>
    </row>
    <row r="705">
      <c r="B705" s="46"/>
    </row>
    <row r="706">
      <c r="B706" s="46"/>
    </row>
    <row r="707">
      <c r="B707" s="46"/>
    </row>
    <row r="708">
      <c r="B708" s="46"/>
    </row>
    <row r="709">
      <c r="B709" s="46"/>
    </row>
    <row r="710">
      <c r="B710" s="46"/>
    </row>
    <row r="711">
      <c r="B711" s="46"/>
    </row>
    <row r="712">
      <c r="B712" s="46"/>
    </row>
    <row r="713">
      <c r="B713" s="46"/>
    </row>
    <row r="714">
      <c r="B714" s="46"/>
    </row>
    <row r="715">
      <c r="B715" s="46"/>
    </row>
    <row r="716">
      <c r="B716" s="46"/>
    </row>
    <row r="717">
      <c r="B717" s="46"/>
    </row>
    <row r="718">
      <c r="B718" s="46"/>
    </row>
    <row r="719">
      <c r="B719" s="46"/>
    </row>
    <row r="720">
      <c r="B720" s="46"/>
    </row>
    <row r="721">
      <c r="B721" s="46"/>
    </row>
    <row r="722">
      <c r="B722" s="46"/>
    </row>
    <row r="723">
      <c r="B723" s="46"/>
    </row>
    <row r="724">
      <c r="B724" s="46"/>
    </row>
    <row r="725">
      <c r="B725" s="46"/>
    </row>
    <row r="726">
      <c r="B726" s="46"/>
    </row>
    <row r="727">
      <c r="B727" s="46"/>
    </row>
    <row r="728">
      <c r="B728" s="46"/>
    </row>
    <row r="729">
      <c r="B729" s="46"/>
    </row>
    <row r="730">
      <c r="B730" s="46"/>
    </row>
    <row r="731">
      <c r="B731" s="46"/>
    </row>
    <row r="732">
      <c r="B732" s="46"/>
    </row>
    <row r="733">
      <c r="B733" s="46"/>
    </row>
    <row r="734">
      <c r="B734" s="46"/>
    </row>
    <row r="735">
      <c r="B735" s="46"/>
    </row>
    <row r="736">
      <c r="B736" s="46"/>
    </row>
    <row r="737">
      <c r="B737" s="46"/>
    </row>
    <row r="738">
      <c r="B738" s="46"/>
    </row>
    <row r="739">
      <c r="B739" s="46"/>
    </row>
    <row r="740">
      <c r="B740" s="46"/>
    </row>
    <row r="741">
      <c r="B741" s="46"/>
    </row>
    <row r="742">
      <c r="B742" s="46"/>
    </row>
    <row r="743">
      <c r="B743" s="46"/>
    </row>
    <row r="744">
      <c r="B744" s="46"/>
    </row>
    <row r="745">
      <c r="B745" s="46"/>
    </row>
    <row r="746">
      <c r="B746" s="46"/>
    </row>
    <row r="747">
      <c r="B747" s="46"/>
    </row>
    <row r="748">
      <c r="B748" s="46"/>
    </row>
    <row r="749">
      <c r="B749" s="46"/>
    </row>
    <row r="750">
      <c r="B750" s="46"/>
    </row>
    <row r="751">
      <c r="B751" s="46"/>
    </row>
    <row r="752">
      <c r="B752" s="46"/>
    </row>
    <row r="753">
      <c r="B753" s="46"/>
    </row>
    <row r="754">
      <c r="B754" s="46"/>
    </row>
    <row r="755">
      <c r="B755" s="46"/>
    </row>
    <row r="756">
      <c r="B756" s="46"/>
    </row>
    <row r="757">
      <c r="B757" s="46"/>
    </row>
    <row r="758">
      <c r="B758" s="46"/>
    </row>
    <row r="759">
      <c r="B759" s="46"/>
    </row>
    <row r="760">
      <c r="B760" s="46"/>
    </row>
    <row r="761">
      <c r="B761" s="46"/>
    </row>
    <row r="762">
      <c r="B762" s="46"/>
    </row>
    <row r="763">
      <c r="B763" s="46"/>
    </row>
    <row r="764">
      <c r="B764" s="46"/>
    </row>
    <row r="765">
      <c r="B765" s="46"/>
    </row>
    <row r="766">
      <c r="B766" s="46"/>
    </row>
    <row r="767">
      <c r="B767" s="46"/>
    </row>
    <row r="768">
      <c r="B768" s="46"/>
    </row>
    <row r="769">
      <c r="B769" s="46"/>
    </row>
    <row r="770">
      <c r="B770" s="46"/>
    </row>
    <row r="771">
      <c r="B771" s="46"/>
    </row>
    <row r="772">
      <c r="B772" s="46"/>
    </row>
    <row r="773">
      <c r="B773" s="46"/>
    </row>
    <row r="774">
      <c r="B774" s="46"/>
    </row>
    <row r="775">
      <c r="B775" s="46"/>
    </row>
    <row r="776">
      <c r="B776" s="46"/>
    </row>
    <row r="777">
      <c r="B777" s="46"/>
    </row>
    <row r="778">
      <c r="B778" s="46"/>
    </row>
    <row r="779">
      <c r="B779" s="46"/>
    </row>
    <row r="780">
      <c r="B780" s="46"/>
    </row>
    <row r="781">
      <c r="B781" s="46"/>
    </row>
    <row r="782">
      <c r="B782" s="46"/>
    </row>
    <row r="783">
      <c r="B783" s="46"/>
    </row>
    <row r="784">
      <c r="B784" s="46"/>
    </row>
    <row r="785">
      <c r="B785" s="46"/>
    </row>
    <row r="786">
      <c r="B786" s="46"/>
    </row>
    <row r="787">
      <c r="B787" s="46"/>
    </row>
    <row r="788">
      <c r="B788" s="46"/>
    </row>
    <row r="789">
      <c r="B789" s="46"/>
    </row>
    <row r="790">
      <c r="B790" s="46"/>
    </row>
    <row r="791">
      <c r="B791" s="46"/>
    </row>
    <row r="792">
      <c r="B792" s="46"/>
    </row>
    <row r="793">
      <c r="B793" s="46"/>
    </row>
    <row r="794">
      <c r="B794" s="46"/>
    </row>
    <row r="795">
      <c r="B795" s="46"/>
    </row>
    <row r="796">
      <c r="B796" s="46"/>
    </row>
    <row r="797">
      <c r="B797" s="46"/>
    </row>
    <row r="798">
      <c r="B798" s="46"/>
    </row>
    <row r="799">
      <c r="B799" s="46"/>
    </row>
    <row r="800">
      <c r="B800" s="46"/>
    </row>
    <row r="801">
      <c r="B801" s="46"/>
    </row>
    <row r="802">
      <c r="B802" s="46"/>
    </row>
    <row r="803">
      <c r="B803" s="46"/>
    </row>
    <row r="804">
      <c r="B804" s="46"/>
    </row>
    <row r="805">
      <c r="B805" s="46"/>
    </row>
    <row r="806">
      <c r="B806" s="46"/>
    </row>
    <row r="807">
      <c r="B807" s="46"/>
    </row>
    <row r="808">
      <c r="B808" s="46"/>
    </row>
    <row r="809">
      <c r="B809" s="46"/>
    </row>
    <row r="810">
      <c r="B810" s="46"/>
    </row>
    <row r="811">
      <c r="B811" s="46"/>
    </row>
    <row r="812">
      <c r="B812" s="46"/>
    </row>
    <row r="813">
      <c r="B813" s="46"/>
    </row>
    <row r="814">
      <c r="B814" s="46"/>
    </row>
    <row r="815">
      <c r="B815" s="46"/>
    </row>
    <row r="816">
      <c r="B816" s="46"/>
    </row>
    <row r="817">
      <c r="B817" s="46"/>
    </row>
    <row r="818">
      <c r="B818" s="46"/>
    </row>
    <row r="819">
      <c r="B819" s="46"/>
    </row>
    <row r="820">
      <c r="B820" s="46"/>
    </row>
    <row r="821">
      <c r="B821" s="46"/>
    </row>
    <row r="822">
      <c r="B822" s="46"/>
    </row>
    <row r="823">
      <c r="B823" s="46"/>
    </row>
    <row r="824">
      <c r="B824" s="46"/>
    </row>
    <row r="825">
      <c r="B825" s="46"/>
    </row>
    <row r="826">
      <c r="B826" s="46"/>
    </row>
    <row r="827">
      <c r="B827" s="46"/>
    </row>
    <row r="828">
      <c r="B828" s="46"/>
    </row>
    <row r="829">
      <c r="B829" s="46"/>
    </row>
    <row r="830">
      <c r="B830" s="46"/>
    </row>
    <row r="831">
      <c r="B831" s="46"/>
    </row>
    <row r="832">
      <c r="B832" s="46"/>
    </row>
    <row r="833">
      <c r="B833" s="46"/>
    </row>
    <row r="834">
      <c r="B834" s="46"/>
    </row>
    <row r="835">
      <c r="B835" s="46"/>
    </row>
    <row r="836">
      <c r="B836" s="46"/>
    </row>
    <row r="837">
      <c r="B837" s="46"/>
    </row>
    <row r="838">
      <c r="B838" s="46"/>
    </row>
    <row r="839">
      <c r="B839" s="46"/>
    </row>
    <row r="840">
      <c r="B840" s="46"/>
    </row>
    <row r="841">
      <c r="B841" s="46"/>
    </row>
    <row r="842">
      <c r="B842" s="46"/>
    </row>
    <row r="843">
      <c r="B843" s="46"/>
    </row>
    <row r="844">
      <c r="B844" s="46"/>
    </row>
    <row r="845">
      <c r="B845" s="46"/>
    </row>
    <row r="846">
      <c r="B846" s="46"/>
    </row>
    <row r="847">
      <c r="B847" s="46"/>
    </row>
    <row r="848">
      <c r="B848" s="46"/>
    </row>
    <row r="849">
      <c r="B849" s="46"/>
    </row>
    <row r="850">
      <c r="B850" s="46"/>
    </row>
    <row r="851">
      <c r="B851" s="46"/>
    </row>
    <row r="852">
      <c r="B852" s="46"/>
    </row>
    <row r="853">
      <c r="B853" s="46"/>
    </row>
    <row r="854">
      <c r="B854" s="46"/>
    </row>
    <row r="855">
      <c r="B855" s="46"/>
    </row>
    <row r="856">
      <c r="B856" s="46"/>
    </row>
    <row r="857">
      <c r="B857" s="46"/>
    </row>
    <row r="858">
      <c r="B858" s="46"/>
    </row>
    <row r="859">
      <c r="B859" s="46"/>
    </row>
    <row r="860">
      <c r="B860" s="46"/>
    </row>
    <row r="861">
      <c r="B861" s="46"/>
    </row>
    <row r="862">
      <c r="B862" s="46"/>
    </row>
    <row r="863">
      <c r="B863" s="46"/>
    </row>
    <row r="864">
      <c r="B864" s="46"/>
    </row>
    <row r="865">
      <c r="B865" s="46"/>
    </row>
    <row r="866">
      <c r="B866" s="46"/>
    </row>
    <row r="867">
      <c r="B867" s="46"/>
    </row>
    <row r="868">
      <c r="B868" s="46"/>
    </row>
    <row r="869">
      <c r="B869" s="46"/>
    </row>
    <row r="870">
      <c r="B870" s="46"/>
    </row>
    <row r="871">
      <c r="B871" s="46"/>
    </row>
    <row r="872">
      <c r="B872" s="46"/>
    </row>
    <row r="873">
      <c r="B873" s="46"/>
    </row>
    <row r="874">
      <c r="B874" s="46"/>
    </row>
    <row r="875">
      <c r="B875" s="46"/>
    </row>
    <row r="876">
      <c r="B876" s="46"/>
    </row>
    <row r="877">
      <c r="B877" s="46"/>
    </row>
    <row r="878">
      <c r="B878" s="46"/>
    </row>
    <row r="879">
      <c r="B879" s="46"/>
    </row>
    <row r="880">
      <c r="B880" s="46"/>
    </row>
    <row r="881">
      <c r="B881" s="46"/>
    </row>
    <row r="882">
      <c r="B882" s="46"/>
    </row>
    <row r="883">
      <c r="B883" s="46"/>
    </row>
    <row r="884">
      <c r="B884" s="46"/>
    </row>
    <row r="885">
      <c r="B885" s="46"/>
    </row>
    <row r="886">
      <c r="B886" s="46"/>
    </row>
    <row r="887">
      <c r="B887" s="46"/>
    </row>
    <row r="888">
      <c r="B888" s="46"/>
    </row>
    <row r="889">
      <c r="B889" s="46"/>
    </row>
    <row r="890">
      <c r="B890" s="46"/>
    </row>
    <row r="891">
      <c r="B891" s="46"/>
    </row>
    <row r="892">
      <c r="B892" s="46"/>
    </row>
    <row r="893">
      <c r="B893" s="46"/>
    </row>
    <row r="894">
      <c r="B894" s="46"/>
    </row>
    <row r="895">
      <c r="B895" s="46"/>
    </row>
    <row r="896">
      <c r="B896" s="46"/>
    </row>
    <row r="897">
      <c r="B897" s="46"/>
    </row>
    <row r="898">
      <c r="B898" s="46"/>
    </row>
    <row r="899">
      <c r="B899" s="46"/>
    </row>
    <row r="900">
      <c r="B900" s="46"/>
    </row>
    <row r="901">
      <c r="B901" s="46"/>
    </row>
    <row r="902">
      <c r="B902" s="46"/>
    </row>
    <row r="903">
      <c r="B903" s="46"/>
    </row>
    <row r="904">
      <c r="B904" s="46"/>
    </row>
    <row r="905">
      <c r="B905" s="46"/>
    </row>
    <row r="906">
      <c r="B906" s="46"/>
    </row>
    <row r="907">
      <c r="B907" s="46"/>
    </row>
    <row r="908">
      <c r="B908" s="46"/>
    </row>
    <row r="909">
      <c r="B909" s="46"/>
    </row>
    <row r="910">
      <c r="B910" s="46"/>
    </row>
    <row r="911">
      <c r="B911" s="46"/>
    </row>
    <row r="912">
      <c r="B912" s="46"/>
    </row>
    <row r="913">
      <c r="B913" s="46"/>
    </row>
    <row r="914">
      <c r="B914" s="46"/>
    </row>
    <row r="915">
      <c r="B915" s="46"/>
    </row>
    <row r="916">
      <c r="B916" s="46"/>
    </row>
    <row r="917">
      <c r="B917" s="46"/>
    </row>
    <row r="918">
      <c r="B918" s="46"/>
    </row>
    <row r="919">
      <c r="B919" s="46"/>
    </row>
    <row r="920">
      <c r="B920" s="46"/>
    </row>
    <row r="921">
      <c r="B921" s="46"/>
    </row>
    <row r="922">
      <c r="B922" s="46"/>
    </row>
    <row r="923">
      <c r="B923" s="46"/>
    </row>
    <row r="924">
      <c r="B924" s="46"/>
    </row>
    <row r="925">
      <c r="B925" s="46"/>
    </row>
    <row r="926">
      <c r="B926" s="46"/>
    </row>
    <row r="927">
      <c r="B927" s="46"/>
    </row>
    <row r="928">
      <c r="B928" s="46"/>
    </row>
    <row r="929">
      <c r="B929" s="46"/>
    </row>
    <row r="930">
      <c r="B930" s="46"/>
    </row>
    <row r="931">
      <c r="B931" s="46"/>
    </row>
    <row r="932">
      <c r="B932" s="46"/>
    </row>
    <row r="933">
      <c r="B933" s="46"/>
    </row>
    <row r="934">
      <c r="B934" s="46"/>
    </row>
    <row r="935">
      <c r="B935" s="46"/>
    </row>
    <row r="936">
      <c r="B936" s="46"/>
    </row>
    <row r="937">
      <c r="B937" s="46"/>
    </row>
    <row r="938">
      <c r="B938" s="46"/>
    </row>
    <row r="939">
      <c r="B939" s="46"/>
    </row>
    <row r="940">
      <c r="B940" s="46"/>
    </row>
    <row r="941">
      <c r="B941" s="46"/>
    </row>
    <row r="942">
      <c r="B942" s="46"/>
    </row>
    <row r="943">
      <c r="B943" s="46"/>
    </row>
    <row r="944">
      <c r="B944" s="46"/>
    </row>
    <row r="945">
      <c r="B945" s="46"/>
    </row>
    <row r="946">
      <c r="B946" s="46"/>
    </row>
    <row r="947">
      <c r="B947" s="46"/>
    </row>
    <row r="948">
      <c r="B948" s="46"/>
    </row>
    <row r="949">
      <c r="B949" s="46"/>
    </row>
    <row r="950">
      <c r="B950" s="46"/>
    </row>
    <row r="951">
      <c r="B951" s="46"/>
    </row>
    <row r="952">
      <c r="B952" s="46"/>
    </row>
    <row r="953">
      <c r="B953" s="46"/>
    </row>
    <row r="954">
      <c r="B954" s="46"/>
    </row>
    <row r="955">
      <c r="B955" s="46"/>
    </row>
    <row r="956">
      <c r="B956" s="46"/>
    </row>
    <row r="957">
      <c r="B957" s="46"/>
    </row>
    <row r="958">
      <c r="B958" s="46"/>
    </row>
    <row r="959">
      <c r="B959" s="46"/>
    </row>
    <row r="960">
      <c r="B960" s="46"/>
    </row>
    <row r="961">
      <c r="B961" s="46"/>
    </row>
    <row r="962">
      <c r="B962" s="46"/>
    </row>
    <row r="963">
      <c r="B963" s="46"/>
    </row>
    <row r="964">
      <c r="B964" s="46"/>
    </row>
    <row r="965">
      <c r="B965" s="46"/>
    </row>
    <row r="966">
      <c r="B966" s="46"/>
    </row>
    <row r="967">
      <c r="B967" s="46"/>
    </row>
    <row r="968">
      <c r="B968" s="46"/>
    </row>
    <row r="969">
      <c r="B969" s="46"/>
    </row>
    <row r="970">
      <c r="B970" s="46"/>
    </row>
    <row r="971">
      <c r="B971" s="46"/>
    </row>
    <row r="972">
      <c r="B972" s="46"/>
    </row>
    <row r="973">
      <c r="B973" s="46"/>
    </row>
    <row r="974">
      <c r="B974" s="46"/>
    </row>
    <row r="975">
      <c r="B975" s="46"/>
    </row>
    <row r="976">
      <c r="B976" s="46"/>
    </row>
    <row r="977">
      <c r="B977" s="46"/>
    </row>
    <row r="978">
      <c r="B978" s="46"/>
    </row>
    <row r="979">
      <c r="B979" s="46"/>
    </row>
    <row r="980">
      <c r="B980" s="46"/>
    </row>
    <row r="981">
      <c r="B981" s="46"/>
    </row>
    <row r="982">
      <c r="B982" s="46"/>
    </row>
    <row r="983">
      <c r="B983" s="46"/>
    </row>
    <row r="984">
      <c r="B984" s="46"/>
    </row>
    <row r="985">
      <c r="B985" s="46"/>
    </row>
    <row r="986">
      <c r="B986" s="46"/>
    </row>
    <row r="987">
      <c r="B987" s="46"/>
    </row>
    <row r="988">
      <c r="B988" s="46"/>
    </row>
    <row r="989">
      <c r="B989" s="46"/>
    </row>
    <row r="990">
      <c r="B990" s="46"/>
    </row>
    <row r="991">
      <c r="B991" s="46"/>
    </row>
    <row r="992">
      <c r="B992" s="46"/>
    </row>
    <row r="993">
      <c r="B993" s="46"/>
    </row>
    <row r="994">
      <c r="B994" s="46"/>
    </row>
    <row r="995">
      <c r="B995" s="46"/>
    </row>
    <row r="996">
      <c r="B996" s="46"/>
    </row>
    <row r="997">
      <c r="B997" s="46"/>
    </row>
    <row r="998">
      <c r="B998" s="46"/>
    </row>
    <row r="999">
      <c r="B999" s="46"/>
    </row>
    <row r="1000">
      <c r="B1000" s="4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133</v>
      </c>
      <c r="B1" s="108" t="s">
        <v>138</v>
      </c>
    </row>
    <row r="2">
      <c r="A2" s="38" t="s">
        <v>203</v>
      </c>
      <c r="B2" s="108">
        <v>250.0</v>
      </c>
    </row>
    <row r="3">
      <c r="A3" s="38" t="s">
        <v>164</v>
      </c>
      <c r="B3" s="108">
        <v>100.0</v>
      </c>
    </row>
    <row r="4">
      <c r="A4" s="38" t="s">
        <v>196</v>
      </c>
      <c r="B4" s="108">
        <v>100.0</v>
      </c>
    </row>
    <row r="5">
      <c r="A5" s="38" t="s">
        <v>219</v>
      </c>
      <c r="B5" s="108">
        <v>60.0</v>
      </c>
    </row>
    <row r="6">
      <c r="A6" s="38" t="s">
        <v>259</v>
      </c>
      <c r="B6" s="108">
        <v>60.0</v>
      </c>
    </row>
    <row r="7">
      <c r="A7" s="38" t="s">
        <v>213</v>
      </c>
      <c r="B7" s="108">
        <v>60.0</v>
      </c>
    </row>
    <row r="8">
      <c r="A8" s="38" t="s">
        <v>394</v>
      </c>
      <c r="B8" s="108">
        <v>70.0</v>
      </c>
    </row>
    <row r="9">
      <c r="A9" s="38" t="s">
        <v>395</v>
      </c>
      <c r="B9" s="108">
        <v>70.0</v>
      </c>
    </row>
    <row r="10">
      <c r="A10" s="38" t="s">
        <v>247</v>
      </c>
      <c r="B10" s="108">
        <v>80.0</v>
      </c>
    </row>
    <row r="11">
      <c r="A11" s="38" t="s">
        <v>396</v>
      </c>
      <c r="B11" s="108">
        <v>80.0</v>
      </c>
    </row>
    <row r="12">
      <c r="A12" s="38" t="s">
        <v>397</v>
      </c>
      <c r="B12" s="108">
        <v>80.0</v>
      </c>
    </row>
    <row r="13">
      <c r="A13" s="38" t="s">
        <v>398</v>
      </c>
      <c r="B13" s="108">
        <v>80.0</v>
      </c>
    </row>
    <row r="14">
      <c r="A14" s="38" t="s">
        <v>257</v>
      </c>
      <c r="B14" s="108">
        <v>90.0</v>
      </c>
    </row>
    <row r="15">
      <c r="A15" s="38" t="s">
        <v>399</v>
      </c>
      <c r="B15" s="108">
        <v>100.0</v>
      </c>
    </row>
    <row r="16">
      <c r="A16" s="38" t="s">
        <v>220</v>
      </c>
      <c r="B16" s="108">
        <v>150.0</v>
      </c>
    </row>
    <row r="17">
      <c r="A17" s="38" t="s">
        <v>202</v>
      </c>
      <c r="B17" s="108">
        <v>200.0</v>
      </c>
    </row>
    <row r="18">
      <c r="A18" s="38" t="s">
        <v>256</v>
      </c>
      <c r="B18" s="108">
        <v>250.0</v>
      </c>
    </row>
    <row r="19">
      <c r="A19" s="38" t="s">
        <v>400</v>
      </c>
      <c r="B19" s="108">
        <v>150.0</v>
      </c>
    </row>
    <row r="20">
      <c r="A20" s="38" t="s">
        <v>401</v>
      </c>
      <c r="B20" s="108">
        <v>200.0</v>
      </c>
    </row>
    <row r="21">
      <c r="A21" s="38" t="s">
        <v>402</v>
      </c>
      <c r="B21" s="108">
        <v>250.0</v>
      </c>
    </row>
    <row r="22">
      <c r="A22" s="38" t="s">
        <v>403</v>
      </c>
      <c r="B22" s="108">
        <v>300.0</v>
      </c>
    </row>
    <row r="23">
      <c r="A23" s="38" t="s">
        <v>404</v>
      </c>
      <c r="B23" s="108">
        <v>350.0</v>
      </c>
    </row>
    <row r="24">
      <c r="A24" s="38" t="s">
        <v>405</v>
      </c>
      <c r="B24" s="108">
        <v>400.0</v>
      </c>
    </row>
    <row r="25">
      <c r="B25" s="46"/>
    </row>
    <row r="26">
      <c r="B26" s="46"/>
    </row>
    <row r="27">
      <c r="B27" s="46"/>
    </row>
    <row r="28">
      <c r="B28" s="46"/>
    </row>
    <row r="29">
      <c r="B29" s="46"/>
    </row>
    <row r="30">
      <c r="B30" s="46"/>
    </row>
    <row r="31">
      <c r="B31" s="46"/>
    </row>
    <row r="32">
      <c r="B32" s="46"/>
    </row>
    <row r="33">
      <c r="B33" s="46"/>
    </row>
    <row r="34">
      <c r="B34" s="46"/>
    </row>
    <row r="35">
      <c r="B35" s="46"/>
    </row>
    <row r="36">
      <c r="B36" s="46"/>
    </row>
    <row r="37">
      <c r="B37" s="46"/>
    </row>
    <row r="38">
      <c r="B38" s="46"/>
    </row>
    <row r="39">
      <c r="B39" s="46"/>
    </row>
    <row r="40">
      <c r="B40" s="46"/>
    </row>
    <row r="41">
      <c r="B41" s="46"/>
    </row>
    <row r="42">
      <c r="B42" s="46"/>
    </row>
    <row r="43">
      <c r="B43" s="46"/>
    </row>
    <row r="44">
      <c r="B44" s="46"/>
    </row>
    <row r="45">
      <c r="B45" s="46"/>
    </row>
    <row r="46">
      <c r="B46" s="46"/>
    </row>
    <row r="47">
      <c r="B47" s="46"/>
    </row>
    <row r="48">
      <c r="B48" s="46"/>
    </row>
    <row r="49">
      <c r="B49" s="46"/>
    </row>
    <row r="50">
      <c r="B50" s="46"/>
    </row>
    <row r="51">
      <c r="B51" s="46"/>
    </row>
    <row r="52">
      <c r="B52" s="46"/>
    </row>
    <row r="53">
      <c r="B53" s="46"/>
    </row>
    <row r="54">
      <c r="B54" s="46"/>
    </row>
    <row r="55">
      <c r="B55" s="46"/>
    </row>
    <row r="56">
      <c r="B56" s="46"/>
    </row>
    <row r="57">
      <c r="B57" s="46"/>
    </row>
    <row r="58">
      <c r="B58" s="46"/>
    </row>
    <row r="59">
      <c r="B59" s="46"/>
    </row>
    <row r="60">
      <c r="B60" s="46"/>
    </row>
    <row r="61">
      <c r="B61" s="46"/>
    </row>
    <row r="62">
      <c r="B62" s="46"/>
    </row>
    <row r="63">
      <c r="B63" s="46"/>
    </row>
    <row r="64">
      <c r="B64" s="46"/>
    </row>
    <row r="65">
      <c r="B65" s="46"/>
    </row>
    <row r="66">
      <c r="B66" s="46"/>
    </row>
    <row r="67">
      <c r="B67" s="46"/>
    </row>
    <row r="68">
      <c r="B68" s="46"/>
    </row>
    <row r="69">
      <c r="B69" s="46"/>
    </row>
    <row r="70">
      <c r="B70" s="46"/>
    </row>
    <row r="71">
      <c r="B71" s="46"/>
    </row>
    <row r="72">
      <c r="B72" s="46"/>
    </row>
    <row r="73">
      <c r="B73" s="46"/>
    </row>
    <row r="74">
      <c r="B74" s="46"/>
    </row>
    <row r="75">
      <c r="B75" s="46"/>
    </row>
    <row r="76">
      <c r="B76" s="46"/>
    </row>
    <row r="77">
      <c r="B77" s="46"/>
    </row>
    <row r="78">
      <c r="B78" s="46"/>
    </row>
    <row r="79">
      <c r="B79" s="46"/>
    </row>
    <row r="80">
      <c r="B80" s="46"/>
    </row>
    <row r="81">
      <c r="B81" s="46"/>
    </row>
    <row r="82">
      <c r="B82" s="46"/>
    </row>
    <row r="83">
      <c r="B83" s="46"/>
    </row>
    <row r="84">
      <c r="B84" s="46"/>
    </row>
    <row r="85">
      <c r="B85" s="46"/>
    </row>
    <row r="86">
      <c r="B86" s="46"/>
    </row>
    <row r="87">
      <c r="B87" s="46"/>
    </row>
    <row r="88">
      <c r="B88" s="46"/>
    </row>
    <row r="89">
      <c r="B89" s="46"/>
    </row>
    <row r="90">
      <c r="B90" s="46"/>
    </row>
    <row r="91">
      <c r="B91" s="46"/>
    </row>
    <row r="92">
      <c r="B92" s="46"/>
    </row>
    <row r="93">
      <c r="B93" s="46"/>
    </row>
    <row r="94">
      <c r="B94" s="46"/>
    </row>
    <row r="95">
      <c r="B95" s="46"/>
    </row>
    <row r="96">
      <c r="B96" s="46"/>
    </row>
    <row r="97">
      <c r="B97" s="46"/>
    </row>
    <row r="98">
      <c r="B98" s="46"/>
    </row>
    <row r="99">
      <c r="B99" s="46"/>
    </row>
    <row r="100">
      <c r="B100" s="46"/>
    </row>
    <row r="101">
      <c r="B101" s="46"/>
    </row>
    <row r="102">
      <c r="B102" s="46"/>
    </row>
    <row r="103">
      <c r="B103" s="46"/>
    </row>
    <row r="104">
      <c r="B104" s="46"/>
    </row>
    <row r="105">
      <c r="B105" s="46"/>
    </row>
    <row r="106">
      <c r="B106" s="46"/>
    </row>
    <row r="107">
      <c r="B107" s="46"/>
    </row>
    <row r="108">
      <c r="B108" s="46"/>
    </row>
    <row r="109">
      <c r="B109" s="46"/>
    </row>
    <row r="110">
      <c r="B110" s="46"/>
    </row>
    <row r="111">
      <c r="B111" s="46"/>
    </row>
    <row r="112">
      <c r="B112" s="46"/>
    </row>
    <row r="113">
      <c r="B113" s="46"/>
    </row>
    <row r="114">
      <c r="B114" s="46"/>
    </row>
    <row r="115">
      <c r="B115" s="46"/>
    </row>
    <row r="116">
      <c r="B116" s="46"/>
    </row>
    <row r="117">
      <c r="B117" s="46"/>
    </row>
    <row r="118">
      <c r="B118" s="46"/>
    </row>
    <row r="119">
      <c r="B119" s="46"/>
    </row>
    <row r="120">
      <c r="B120" s="46"/>
    </row>
    <row r="121">
      <c r="B121" s="46"/>
    </row>
    <row r="122">
      <c r="B122" s="46"/>
    </row>
    <row r="123">
      <c r="B123" s="46"/>
    </row>
    <row r="124">
      <c r="B124" s="46"/>
    </row>
    <row r="125">
      <c r="B125" s="46"/>
    </row>
    <row r="126">
      <c r="B126" s="46"/>
    </row>
    <row r="127">
      <c r="B127" s="46"/>
    </row>
    <row r="128">
      <c r="B128" s="46"/>
    </row>
    <row r="129">
      <c r="B129" s="46"/>
    </row>
    <row r="130">
      <c r="B130" s="46"/>
    </row>
    <row r="131">
      <c r="B131" s="46"/>
    </row>
    <row r="132">
      <c r="B132" s="46"/>
    </row>
    <row r="133">
      <c r="B133" s="46"/>
    </row>
    <row r="134">
      <c r="B134" s="46"/>
    </row>
    <row r="135">
      <c r="B135" s="46"/>
    </row>
    <row r="136">
      <c r="B136" s="46"/>
    </row>
    <row r="137">
      <c r="B137" s="46"/>
    </row>
    <row r="138">
      <c r="B138" s="46"/>
    </row>
    <row r="139">
      <c r="B139" s="46"/>
    </row>
    <row r="140">
      <c r="B140" s="46"/>
    </row>
    <row r="141">
      <c r="B141" s="46"/>
    </row>
    <row r="142">
      <c r="B142" s="46"/>
    </row>
    <row r="143">
      <c r="B143" s="46"/>
    </row>
    <row r="144">
      <c r="B144" s="46"/>
    </row>
    <row r="145">
      <c r="B145" s="46"/>
    </row>
    <row r="146">
      <c r="B146" s="46"/>
    </row>
    <row r="147">
      <c r="B147" s="46"/>
    </row>
    <row r="148">
      <c r="B148" s="46"/>
    </row>
    <row r="149">
      <c r="B149" s="46"/>
    </row>
    <row r="150">
      <c r="B150" s="46"/>
    </row>
    <row r="151">
      <c r="B151" s="46"/>
    </row>
    <row r="152">
      <c r="B152" s="46"/>
    </row>
    <row r="153">
      <c r="B153" s="46"/>
    </row>
    <row r="154">
      <c r="B154" s="46"/>
    </row>
    <row r="155">
      <c r="B155" s="46"/>
    </row>
    <row r="156">
      <c r="B156" s="46"/>
    </row>
    <row r="157">
      <c r="B157" s="46"/>
    </row>
    <row r="158">
      <c r="B158" s="46"/>
    </row>
    <row r="159">
      <c r="B159" s="46"/>
    </row>
    <row r="160">
      <c r="B160" s="46"/>
    </row>
    <row r="161">
      <c r="B161" s="46"/>
    </row>
    <row r="162">
      <c r="B162" s="46"/>
    </row>
    <row r="163">
      <c r="B163" s="46"/>
    </row>
    <row r="164">
      <c r="B164" s="46"/>
    </row>
    <row r="165">
      <c r="B165" s="46"/>
    </row>
    <row r="166">
      <c r="B166" s="46"/>
    </row>
    <row r="167">
      <c r="B167" s="46"/>
    </row>
    <row r="168">
      <c r="B168" s="46"/>
    </row>
    <row r="169">
      <c r="B169" s="46"/>
    </row>
    <row r="170">
      <c r="B170" s="46"/>
    </row>
    <row r="171">
      <c r="B171" s="46"/>
    </row>
    <row r="172">
      <c r="B172" s="46"/>
    </row>
    <row r="173">
      <c r="B173" s="46"/>
    </row>
    <row r="174">
      <c r="B174" s="46"/>
    </row>
    <row r="175">
      <c r="B175" s="46"/>
    </row>
    <row r="176">
      <c r="B176" s="46"/>
    </row>
    <row r="177">
      <c r="B177" s="46"/>
    </row>
    <row r="178">
      <c r="B178" s="46"/>
    </row>
    <row r="179">
      <c r="B179" s="46"/>
    </row>
    <row r="180">
      <c r="B180" s="46"/>
    </row>
    <row r="181">
      <c r="B181" s="46"/>
    </row>
    <row r="182">
      <c r="B182" s="46"/>
    </row>
    <row r="183">
      <c r="B183" s="46"/>
    </row>
    <row r="184">
      <c r="B184" s="46"/>
    </row>
    <row r="185">
      <c r="B185" s="46"/>
    </row>
    <row r="186">
      <c r="B186" s="46"/>
    </row>
    <row r="187">
      <c r="B187" s="46"/>
    </row>
    <row r="188">
      <c r="B188" s="46"/>
    </row>
    <row r="189">
      <c r="B189" s="46"/>
    </row>
    <row r="190">
      <c r="B190" s="46"/>
    </row>
    <row r="191">
      <c r="B191" s="46"/>
    </row>
    <row r="192">
      <c r="B192" s="46"/>
    </row>
    <row r="193">
      <c r="B193" s="46"/>
    </row>
    <row r="194">
      <c r="B194" s="46"/>
    </row>
    <row r="195">
      <c r="B195" s="46"/>
    </row>
    <row r="196">
      <c r="B196" s="46"/>
    </row>
    <row r="197">
      <c r="B197" s="46"/>
    </row>
    <row r="198">
      <c r="B198" s="46"/>
    </row>
    <row r="199">
      <c r="B199" s="46"/>
    </row>
    <row r="200">
      <c r="B200" s="46"/>
    </row>
    <row r="201">
      <c r="B201" s="46"/>
    </row>
    <row r="202">
      <c r="B202" s="46"/>
    </row>
    <row r="203">
      <c r="B203" s="46"/>
    </row>
    <row r="204">
      <c r="B204" s="46"/>
    </row>
    <row r="205">
      <c r="B205" s="46"/>
    </row>
    <row r="206">
      <c r="B206" s="46"/>
    </row>
    <row r="207">
      <c r="B207" s="46"/>
    </row>
    <row r="208">
      <c r="B208" s="46"/>
    </row>
    <row r="209">
      <c r="B209" s="46"/>
    </row>
    <row r="210">
      <c r="B210" s="46"/>
    </row>
    <row r="211">
      <c r="B211" s="46"/>
    </row>
    <row r="212">
      <c r="B212" s="46"/>
    </row>
    <row r="213">
      <c r="B213" s="46"/>
    </row>
    <row r="214">
      <c r="B214" s="46"/>
    </row>
    <row r="215">
      <c r="B215" s="46"/>
    </row>
    <row r="216">
      <c r="B216" s="46"/>
    </row>
    <row r="217">
      <c r="B217" s="46"/>
    </row>
    <row r="218">
      <c r="B218" s="46"/>
    </row>
    <row r="219">
      <c r="B219" s="46"/>
    </row>
    <row r="220">
      <c r="B220" s="46"/>
    </row>
    <row r="221">
      <c r="B221" s="46"/>
    </row>
    <row r="222">
      <c r="B222" s="46"/>
    </row>
    <row r="223">
      <c r="B223" s="46"/>
    </row>
    <row r="224">
      <c r="B224" s="46"/>
    </row>
    <row r="225">
      <c r="B225" s="46"/>
    </row>
    <row r="226">
      <c r="B226" s="46"/>
    </row>
    <row r="227">
      <c r="B227" s="46"/>
    </row>
    <row r="228">
      <c r="B228" s="46"/>
    </row>
    <row r="229">
      <c r="B229" s="46"/>
    </row>
    <row r="230">
      <c r="B230" s="46"/>
    </row>
    <row r="231">
      <c r="B231" s="46"/>
    </row>
    <row r="232">
      <c r="B232" s="46"/>
    </row>
    <row r="233">
      <c r="B233" s="46"/>
    </row>
    <row r="234">
      <c r="B234" s="46"/>
    </row>
    <row r="235">
      <c r="B235" s="46"/>
    </row>
    <row r="236">
      <c r="B236" s="46"/>
    </row>
    <row r="237">
      <c r="B237" s="46"/>
    </row>
    <row r="238">
      <c r="B238" s="46"/>
    </row>
    <row r="239">
      <c r="B239" s="46"/>
    </row>
    <row r="240">
      <c r="B240" s="46"/>
    </row>
    <row r="241">
      <c r="B241" s="46"/>
    </row>
    <row r="242">
      <c r="B242" s="46"/>
    </row>
    <row r="243">
      <c r="B243" s="46"/>
    </row>
    <row r="244">
      <c r="B244" s="46"/>
    </row>
    <row r="245">
      <c r="B245" s="46"/>
    </row>
    <row r="246">
      <c r="B246" s="46"/>
    </row>
    <row r="247">
      <c r="B247" s="46"/>
    </row>
    <row r="248">
      <c r="B248" s="46"/>
    </row>
    <row r="249">
      <c r="B249" s="46"/>
    </row>
    <row r="250">
      <c r="B250" s="46"/>
    </row>
    <row r="251">
      <c r="B251" s="46"/>
    </row>
    <row r="252">
      <c r="B252" s="46"/>
    </row>
    <row r="253">
      <c r="B253" s="46"/>
    </row>
    <row r="254">
      <c r="B254" s="46"/>
    </row>
    <row r="255">
      <c r="B255" s="46"/>
    </row>
    <row r="256">
      <c r="B256" s="46"/>
    </row>
    <row r="257">
      <c r="B257" s="46"/>
    </row>
    <row r="258">
      <c r="B258" s="46"/>
    </row>
    <row r="259">
      <c r="B259" s="46"/>
    </row>
    <row r="260">
      <c r="B260" s="46"/>
    </row>
    <row r="261">
      <c r="B261" s="46"/>
    </row>
    <row r="262">
      <c r="B262" s="46"/>
    </row>
    <row r="263">
      <c r="B263" s="46"/>
    </row>
    <row r="264">
      <c r="B264" s="46"/>
    </row>
    <row r="265">
      <c r="B265" s="46"/>
    </row>
    <row r="266">
      <c r="B266" s="46"/>
    </row>
    <row r="267">
      <c r="B267" s="46"/>
    </row>
    <row r="268">
      <c r="B268" s="46"/>
    </row>
    <row r="269">
      <c r="B269" s="46"/>
    </row>
    <row r="270">
      <c r="B270" s="46"/>
    </row>
    <row r="271">
      <c r="B271" s="46"/>
    </row>
    <row r="272">
      <c r="B272" s="46"/>
    </row>
    <row r="273">
      <c r="B273" s="46"/>
    </row>
    <row r="274">
      <c r="B274" s="46"/>
    </row>
    <row r="275">
      <c r="B275" s="46"/>
    </row>
    <row r="276">
      <c r="B276" s="46"/>
    </row>
    <row r="277">
      <c r="B277" s="46"/>
    </row>
    <row r="278">
      <c r="B278" s="46"/>
    </row>
    <row r="279">
      <c r="B279" s="46"/>
    </row>
    <row r="280">
      <c r="B280" s="46"/>
    </row>
    <row r="281">
      <c r="B281" s="46"/>
    </row>
    <row r="282">
      <c r="B282" s="46"/>
    </row>
    <row r="283">
      <c r="B283" s="46"/>
    </row>
    <row r="284">
      <c r="B284" s="46"/>
    </row>
    <row r="285">
      <c r="B285" s="46"/>
    </row>
    <row r="286">
      <c r="B286" s="46"/>
    </row>
    <row r="287">
      <c r="B287" s="46"/>
    </row>
    <row r="288">
      <c r="B288" s="46"/>
    </row>
    <row r="289">
      <c r="B289" s="46"/>
    </row>
    <row r="290">
      <c r="B290" s="46"/>
    </row>
    <row r="291">
      <c r="B291" s="46"/>
    </row>
    <row r="292">
      <c r="B292" s="46"/>
    </row>
    <row r="293">
      <c r="B293" s="46"/>
    </row>
    <row r="294">
      <c r="B294" s="46"/>
    </row>
    <row r="295">
      <c r="B295" s="46"/>
    </row>
    <row r="296">
      <c r="B296" s="46"/>
    </row>
    <row r="297">
      <c r="B297" s="46"/>
    </row>
    <row r="298">
      <c r="B298" s="46"/>
    </row>
    <row r="299">
      <c r="B299" s="46"/>
    </row>
    <row r="300">
      <c r="B300" s="46"/>
    </row>
    <row r="301">
      <c r="B301" s="46"/>
    </row>
    <row r="302">
      <c r="B302" s="46"/>
    </row>
    <row r="303">
      <c r="B303" s="46"/>
    </row>
    <row r="304">
      <c r="B304" s="46"/>
    </row>
    <row r="305">
      <c r="B305" s="46"/>
    </row>
    <row r="306">
      <c r="B306" s="46"/>
    </row>
    <row r="307">
      <c r="B307" s="46"/>
    </row>
    <row r="308">
      <c r="B308" s="46"/>
    </row>
    <row r="309">
      <c r="B309" s="46"/>
    </row>
    <row r="310">
      <c r="B310" s="46"/>
    </row>
    <row r="311">
      <c r="B311" s="46"/>
    </row>
    <row r="312">
      <c r="B312" s="46"/>
    </row>
    <row r="313">
      <c r="B313" s="46"/>
    </row>
    <row r="314">
      <c r="B314" s="46"/>
    </row>
    <row r="315">
      <c r="B315" s="46"/>
    </row>
    <row r="316">
      <c r="B316" s="46"/>
    </row>
    <row r="317">
      <c r="B317" s="46"/>
    </row>
    <row r="318">
      <c r="B318" s="46"/>
    </row>
    <row r="319">
      <c r="B319" s="46"/>
    </row>
    <row r="320">
      <c r="B320" s="46"/>
    </row>
    <row r="321">
      <c r="B321" s="46"/>
    </row>
    <row r="322">
      <c r="B322" s="46"/>
    </row>
    <row r="323">
      <c r="B323" s="46"/>
    </row>
    <row r="324">
      <c r="B324" s="46"/>
    </row>
    <row r="325">
      <c r="B325" s="46"/>
    </row>
    <row r="326">
      <c r="B326" s="46"/>
    </row>
    <row r="327">
      <c r="B327" s="46"/>
    </row>
    <row r="328">
      <c r="B328" s="46"/>
    </row>
    <row r="329">
      <c r="B329" s="46"/>
    </row>
    <row r="330">
      <c r="B330" s="46"/>
    </row>
    <row r="331">
      <c r="B331" s="46"/>
    </row>
    <row r="332">
      <c r="B332" s="46"/>
    </row>
    <row r="333">
      <c r="B333" s="46"/>
    </row>
    <row r="334">
      <c r="B334" s="46"/>
    </row>
    <row r="335">
      <c r="B335" s="46"/>
    </row>
    <row r="336">
      <c r="B336" s="46"/>
    </row>
    <row r="337">
      <c r="B337" s="46"/>
    </row>
    <row r="338">
      <c r="B338" s="46"/>
    </row>
    <row r="339">
      <c r="B339" s="46"/>
    </row>
    <row r="340">
      <c r="B340" s="46"/>
    </row>
    <row r="341">
      <c r="B341" s="46"/>
    </row>
    <row r="342">
      <c r="B342" s="46"/>
    </row>
    <row r="343">
      <c r="B343" s="46"/>
    </row>
    <row r="344">
      <c r="B344" s="46"/>
    </row>
    <row r="345">
      <c r="B345" s="46"/>
    </row>
    <row r="346">
      <c r="B346" s="46"/>
    </row>
    <row r="347">
      <c r="B347" s="46"/>
    </row>
    <row r="348">
      <c r="B348" s="46"/>
    </row>
    <row r="349">
      <c r="B349" s="46"/>
    </row>
    <row r="350">
      <c r="B350" s="46"/>
    </row>
    <row r="351">
      <c r="B351" s="46"/>
    </row>
    <row r="352">
      <c r="B352" s="46"/>
    </row>
    <row r="353">
      <c r="B353" s="46"/>
    </row>
    <row r="354">
      <c r="B354" s="46"/>
    </row>
    <row r="355">
      <c r="B355" s="46"/>
    </row>
    <row r="356">
      <c r="B356" s="46"/>
    </row>
    <row r="357">
      <c r="B357" s="46"/>
    </row>
    <row r="358">
      <c r="B358" s="46"/>
    </row>
    <row r="359">
      <c r="B359" s="46"/>
    </row>
    <row r="360">
      <c r="B360" s="46"/>
    </row>
    <row r="361">
      <c r="B361" s="46"/>
    </row>
    <row r="362">
      <c r="B362" s="46"/>
    </row>
    <row r="363">
      <c r="B363" s="46"/>
    </row>
    <row r="364">
      <c r="B364" s="46"/>
    </row>
    <row r="365">
      <c r="B365" s="46"/>
    </row>
    <row r="366">
      <c r="B366" s="46"/>
    </row>
    <row r="367">
      <c r="B367" s="46"/>
    </row>
    <row r="368">
      <c r="B368" s="46"/>
    </row>
    <row r="369">
      <c r="B369" s="46"/>
    </row>
    <row r="370">
      <c r="B370" s="46"/>
    </row>
    <row r="371">
      <c r="B371" s="46"/>
    </row>
    <row r="372">
      <c r="B372" s="46"/>
    </row>
    <row r="373">
      <c r="B373" s="46"/>
    </row>
    <row r="374">
      <c r="B374" s="46"/>
    </row>
    <row r="375">
      <c r="B375" s="46"/>
    </row>
    <row r="376">
      <c r="B376" s="46"/>
    </row>
    <row r="377">
      <c r="B377" s="46"/>
    </row>
    <row r="378">
      <c r="B378" s="46"/>
    </row>
    <row r="379">
      <c r="B379" s="46"/>
    </row>
    <row r="380">
      <c r="B380" s="46"/>
    </row>
    <row r="381">
      <c r="B381" s="46"/>
    </row>
    <row r="382">
      <c r="B382" s="46"/>
    </row>
    <row r="383">
      <c r="B383" s="46"/>
    </row>
    <row r="384">
      <c r="B384" s="46"/>
    </row>
    <row r="385">
      <c r="B385" s="46"/>
    </row>
    <row r="386">
      <c r="B386" s="46"/>
    </row>
    <row r="387">
      <c r="B387" s="46"/>
    </row>
    <row r="388">
      <c r="B388" s="46"/>
    </row>
    <row r="389">
      <c r="B389" s="46"/>
    </row>
    <row r="390">
      <c r="B390" s="46"/>
    </row>
    <row r="391">
      <c r="B391" s="46"/>
    </row>
    <row r="392">
      <c r="B392" s="46"/>
    </row>
    <row r="393">
      <c r="B393" s="46"/>
    </row>
    <row r="394">
      <c r="B394" s="46"/>
    </row>
    <row r="395">
      <c r="B395" s="46"/>
    </row>
    <row r="396">
      <c r="B396" s="46"/>
    </row>
    <row r="397">
      <c r="B397" s="46"/>
    </row>
    <row r="398">
      <c r="B398" s="46"/>
    </row>
    <row r="399">
      <c r="B399" s="46"/>
    </row>
    <row r="400">
      <c r="B400" s="46"/>
    </row>
    <row r="401">
      <c r="B401" s="46"/>
    </row>
    <row r="402">
      <c r="B402" s="46"/>
    </row>
    <row r="403">
      <c r="B403" s="46"/>
    </row>
    <row r="404">
      <c r="B404" s="46"/>
    </row>
    <row r="405">
      <c r="B405" s="46"/>
    </row>
    <row r="406">
      <c r="B406" s="46"/>
    </row>
    <row r="407">
      <c r="B407" s="46"/>
    </row>
    <row r="408">
      <c r="B408" s="46"/>
    </row>
    <row r="409">
      <c r="B409" s="46"/>
    </row>
    <row r="410">
      <c r="B410" s="46"/>
    </row>
    <row r="411">
      <c r="B411" s="46"/>
    </row>
    <row r="412">
      <c r="B412" s="46"/>
    </row>
    <row r="413">
      <c r="B413" s="46"/>
    </row>
    <row r="414">
      <c r="B414" s="46"/>
    </row>
    <row r="415">
      <c r="B415" s="46"/>
    </row>
    <row r="416">
      <c r="B416" s="46"/>
    </row>
    <row r="417">
      <c r="B417" s="46"/>
    </row>
    <row r="418">
      <c r="B418" s="46"/>
    </row>
    <row r="419">
      <c r="B419" s="46"/>
    </row>
    <row r="420">
      <c r="B420" s="46"/>
    </row>
    <row r="421">
      <c r="B421" s="46"/>
    </row>
    <row r="422">
      <c r="B422" s="46"/>
    </row>
    <row r="423">
      <c r="B423" s="46"/>
    </row>
    <row r="424">
      <c r="B424" s="46"/>
    </row>
    <row r="425">
      <c r="B425" s="46"/>
    </row>
    <row r="426">
      <c r="B426" s="46"/>
    </row>
    <row r="427">
      <c r="B427" s="46"/>
    </row>
    <row r="428">
      <c r="B428" s="46"/>
    </row>
    <row r="429">
      <c r="B429" s="46"/>
    </row>
    <row r="430">
      <c r="B430" s="46"/>
    </row>
    <row r="431">
      <c r="B431" s="46"/>
    </row>
    <row r="432">
      <c r="B432" s="46"/>
    </row>
    <row r="433">
      <c r="B433" s="46"/>
    </row>
    <row r="434">
      <c r="B434" s="46"/>
    </row>
    <row r="435">
      <c r="B435" s="46"/>
    </row>
    <row r="436">
      <c r="B436" s="46"/>
    </row>
    <row r="437">
      <c r="B437" s="46"/>
    </row>
    <row r="438">
      <c r="B438" s="46"/>
    </row>
    <row r="439">
      <c r="B439" s="46"/>
    </row>
    <row r="440">
      <c r="B440" s="46"/>
    </row>
    <row r="441">
      <c r="B441" s="46"/>
    </row>
    <row r="442">
      <c r="B442" s="46"/>
    </row>
    <row r="443">
      <c r="B443" s="46"/>
    </row>
    <row r="444">
      <c r="B444" s="46"/>
    </row>
    <row r="445">
      <c r="B445" s="46"/>
    </row>
    <row r="446">
      <c r="B446" s="46"/>
    </row>
    <row r="447">
      <c r="B447" s="46"/>
    </row>
    <row r="448">
      <c r="B448" s="46"/>
    </row>
    <row r="449">
      <c r="B449" s="46"/>
    </row>
    <row r="450">
      <c r="B450" s="46"/>
    </row>
    <row r="451">
      <c r="B451" s="46"/>
    </row>
    <row r="452">
      <c r="B452" s="46"/>
    </row>
    <row r="453">
      <c r="B453" s="46"/>
    </row>
    <row r="454">
      <c r="B454" s="46"/>
    </row>
    <row r="455">
      <c r="B455" s="46"/>
    </row>
    <row r="456">
      <c r="B456" s="46"/>
    </row>
    <row r="457">
      <c r="B457" s="46"/>
    </row>
    <row r="458">
      <c r="B458" s="46"/>
    </row>
    <row r="459">
      <c r="B459" s="46"/>
    </row>
    <row r="460">
      <c r="B460" s="46"/>
    </row>
    <row r="461">
      <c r="B461" s="46"/>
    </row>
    <row r="462">
      <c r="B462" s="46"/>
    </row>
    <row r="463">
      <c r="B463" s="46"/>
    </row>
    <row r="464">
      <c r="B464" s="46"/>
    </row>
    <row r="465">
      <c r="B465" s="46"/>
    </row>
    <row r="466">
      <c r="B466" s="46"/>
    </row>
    <row r="467">
      <c r="B467" s="46"/>
    </row>
    <row r="468">
      <c r="B468" s="46"/>
    </row>
    <row r="469">
      <c r="B469" s="46"/>
    </row>
    <row r="470">
      <c r="B470" s="46"/>
    </row>
    <row r="471">
      <c r="B471" s="46"/>
    </row>
    <row r="472">
      <c r="B472" s="46"/>
    </row>
    <row r="473">
      <c r="B473" s="46"/>
    </row>
    <row r="474">
      <c r="B474" s="46"/>
    </row>
    <row r="475">
      <c r="B475" s="46"/>
    </row>
    <row r="476">
      <c r="B476" s="46"/>
    </row>
    <row r="477">
      <c r="B477" s="46"/>
    </row>
    <row r="478">
      <c r="B478" s="46"/>
    </row>
    <row r="479">
      <c r="B479" s="46"/>
    </row>
    <row r="480">
      <c r="B480" s="46"/>
    </row>
    <row r="481">
      <c r="B481" s="46"/>
    </row>
    <row r="482">
      <c r="B482" s="46"/>
    </row>
    <row r="483">
      <c r="B483" s="46"/>
    </row>
    <row r="484">
      <c r="B484" s="46"/>
    </row>
    <row r="485">
      <c r="B485" s="46"/>
    </row>
    <row r="486">
      <c r="B486" s="46"/>
    </row>
    <row r="487">
      <c r="B487" s="46"/>
    </row>
    <row r="488">
      <c r="B488" s="46"/>
    </row>
    <row r="489">
      <c r="B489" s="46"/>
    </row>
    <row r="490">
      <c r="B490" s="46"/>
    </row>
    <row r="491">
      <c r="B491" s="46"/>
    </row>
    <row r="492">
      <c r="B492" s="46"/>
    </row>
    <row r="493">
      <c r="B493" s="46"/>
    </row>
    <row r="494">
      <c r="B494" s="46"/>
    </row>
    <row r="495">
      <c r="B495" s="46"/>
    </row>
    <row r="496">
      <c r="B496" s="46"/>
    </row>
    <row r="497">
      <c r="B497" s="46"/>
    </row>
    <row r="498">
      <c r="B498" s="46"/>
    </row>
    <row r="499">
      <c r="B499" s="46"/>
    </row>
    <row r="500">
      <c r="B500" s="46"/>
    </row>
    <row r="501">
      <c r="B501" s="46"/>
    </row>
    <row r="502">
      <c r="B502" s="46"/>
    </row>
    <row r="503">
      <c r="B503" s="46"/>
    </row>
    <row r="504">
      <c r="B504" s="46"/>
    </row>
    <row r="505">
      <c r="B505" s="46"/>
    </row>
    <row r="506">
      <c r="B506" s="46"/>
    </row>
    <row r="507">
      <c r="B507" s="46"/>
    </row>
    <row r="508">
      <c r="B508" s="46"/>
    </row>
    <row r="509">
      <c r="B509" s="46"/>
    </row>
    <row r="510">
      <c r="B510" s="46"/>
    </row>
    <row r="511">
      <c r="B511" s="46"/>
    </row>
    <row r="512">
      <c r="B512" s="46"/>
    </row>
    <row r="513">
      <c r="B513" s="46"/>
    </row>
    <row r="514">
      <c r="B514" s="46"/>
    </row>
    <row r="515">
      <c r="B515" s="46"/>
    </row>
    <row r="516">
      <c r="B516" s="46"/>
    </row>
    <row r="517">
      <c r="B517" s="46"/>
    </row>
    <row r="518">
      <c r="B518" s="46"/>
    </row>
    <row r="519">
      <c r="B519" s="46"/>
    </row>
    <row r="520">
      <c r="B520" s="46"/>
    </row>
    <row r="521">
      <c r="B521" s="46"/>
    </row>
    <row r="522">
      <c r="B522" s="46"/>
    </row>
    <row r="523">
      <c r="B523" s="46"/>
    </row>
    <row r="524">
      <c r="B524" s="46"/>
    </row>
    <row r="525">
      <c r="B525" s="46"/>
    </row>
    <row r="526">
      <c r="B526" s="46"/>
    </row>
    <row r="527">
      <c r="B527" s="46"/>
    </row>
    <row r="528">
      <c r="B528" s="46"/>
    </row>
    <row r="529">
      <c r="B529" s="46"/>
    </row>
    <row r="530">
      <c r="B530" s="46"/>
    </row>
    <row r="531">
      <c r="B531" s="46"/>
    </row>
    <row r="532">
      <c r="B532" s="46"/>
    </row>
    <row r="533">
      <c r="B533" s="46"/>
    </row>
    <row r="534">
      <c r="B534" s="46"/>
    </row>
    <row r="535">
      <c r="B535" s="46"/>
    </row>
    <row r="536">
      <c r="B536" s="46"/>
    </row>
    <row r="537">
      <c r="B537" s="46"/>
    </row>
    <row r="538">
      <c r="B538" s="46"/>
    </row>
    <row r="539">
      <c r="B539" s="46"/>
    </row>
    <row r="540">
      <c r="B540" s="46"/>
    </row>
    <row r="541">
      <c r="B541" s="46"/>
    </row>
    <row r="542">
      <c r="B542" s="46"/>
    </row>
    <row r="543">
      <c r="B543" s="46"/>
    </row>
    <row r="544">
      <c r="B544" s="46"/>
    </row>
    <row r="545">
      <c r="B545" s="46"/>
    </row>
    <row r="546">
      <c r="B546" s="46"/>
    </row>
    <row r="547">
      <c r="B547" s="46"/>
    </row>
    <row r="548">
      <c r="B548" s="46"/>
    </row>
    <row r="549">
      <c r="B549" s="46"/>
    </row>
    <row r="550">
      <c r="B550" s="46"/>
    </row>
    <row r="551">
      <c r="B551" s="46"/>
    </row>
    <row r="552">
      <c r="B552" s="46"/>
    </row>
    <row r="553">
      <c r="B553" s="46"/>
    </row>
    <row r="554">
      <c r="B554" s="46"/>
    </row>
    <row r="555">
      <c r="B555" s="46"/>
    </row>
    <row r="556">
      <c r="B556" s="46"/>
    </row>
    <row r="557">
      <c r="B557" s="46"/>
    </row>
    <row r="558">
      <c r="B558" s="46"/>
    </row>
    <row r="559">
      <c r="B559" s="46"/>
    </row>
    <row r="560">
      <c r="B560" s="46"/>
    </row>
    <row r="561">
      <c r="B561" s="46"/>
    </row>
    <row r="562">
      <c r="B562" s="46"/>
    </row>
    <row r="563">
      <c r="B563" s="46"/>
    </row>
    <row r="564">
      <c r="B564" s="46"/>
    </row>
    <row r="565">
      <c r="B565" s="46"/>
    </row>
    <row r="566">
      <c r="B566" s="46"/>
    </row>
    <row r="567">
      <c r="B567" s="46"/>
    </row>
    <row r="568">
      <c r="B568" s="46"/>
    </row>
    <row r="569">
      <c r="B569" s="46"/>
    </row>
    <row r="570">
      <c r="B570" s="46"/>
    </row>
    <row r="571">
      <c r="B571" s="46"/>
    </row>
    <row r="572">
      <c r="B572" s="46"/>
    </row>
    <row r="573">
      <c r="B573" s="46"/>
    </row>
    <row r="574">
      <c r="B574" s="46"/>
    </row>
    <row r="575">
      <c r="B575" s="46"/>
    </row>
    <row r="576">
      <c r="B576" s="46"/>
    </row>
    <row r="577">
      <c r="B577" s="46"/>
    </row>
    <row r="578">
      <c r="B578" s="46"/>
    </row>
    <row r="579">
      <c r="B579" s="46"/>
    </row>
    <row r="580">
      <c r="B580" s="46"/>
    </row>
    <row r="581">
      <c r="B581" s="46"/>
    </row>
    <row r="582">
      <c r="B582" s="46"/>
    </row>
    <row r="583">
      <c r="B583" s="46"/>
    </row>
    <row r="584">
      <c r="B584" s="46"/>
    </row>
    <row r="585">
      <c r="B585" s="46"/>
    </row>
    <row r="586">
      <c r="B586" s="46"/>
    </row>
    <row r="587">
      <c r="B587" s="46"/>
    </row>
    <row r="588">
      <c r="B588" s="46"/>
    </row>
    <row r="589">
      <c r="B589" s="46"/>
    </row>
    <row r="590">
      <c r="B590" s="46"/>
    </row>
    <row r="591">
      <c r="B591" s="46"/>
    </row>
    <row r="592">
      <c r="B592" s="46"/>
    </row>
    <row r="593">
      <c r="B593" s="46"/>
    </row>
    <row r="594">
      <c r="B594" s="46"/>
    </row>
    <row r="595">
      <c r="B595" s="46"/>
    </row>
    <row r="596">
      <c r="B596" s="46"/>
    </row>
    <row r="597">
      <c r="B597" s="46"/>
    </row>
    <row r="598">
      <c r="B598" s="46"/>
    </row>
    <row r="599">
      <c r="B599" s="46"/>
    </row>
    <row r="600">
      <c r="B600" s="46"/>
    </row>
    <row r="601">
      <c r="B601" s="46"/>
    </row>
    <row r="602">
      <c r="B602" s="46"/>
    </row>
    <row r="603">
      <c r="B603" s="46"/>
    </row>
    <row r="604">
      <c r="B604" s="46"/>
    </row>
    <row r="605">
      <c r="B605" s="46"/>
    </row>
    <row r="606">
      <c r="B606" s="46"/>
    </row>
    <row r="607">
      <c r="B607" s="46"/>
    </row>
    <row r="608">
      <c r="B608" s="46"/>
    </row>
    <row r="609">
      <c r="B609" s="46"/>
    </row>
    <row r="610">
      <c r="B610" s="46"/>
    </row>
    <row r="611">
      <c r="B611" s="46"/>
    </row>
    <row r="612">
      <c r="B612" s="46"/>
    </row>
    <row r="613">
      <c r="B613" s="46"/>
    </row>
    <row r="614">
      <c r="B614" s="46"/>
    </row>
    <row r="615">
      <c r="B615" s="46"/>
    </row>
    <row r="616">
      <c r="B616" s="46"/>
    </row>
    <row r="617">
      <c r="B617" s="46"/>
    </row>
    <row r="618">
      <c r="B618" s="46"/>
    </row>
    <row r="619">
      <c r="B619" s="46"/>
    </row>
    <row r="620">
      <c r="B620" s="46"/>
    </row>
    <row r="621">
      <c r="B621" s="46"/>
    </row>
    <row r="622">
      <c r="B622" s="46"/>
    </row>
    <row r="623">
      <c r="B623" s="46"/>
    </row>
    <row r="624">
      <c r="B624" s="46"/>
    </row>
    <row r="625">
      <c r="B625" s="46"/>
    </row>
    <row r="626">
      <c r="B626" s="46"/>
    </row>
    <row r="627">
      <c r="B627" s="46"/>
    </row>
    <row r="628">
      <c r="B628" s="46"/>
    </row>
    <row r="629">
      <c r="B629" s="46"/>
    </row>
    <row r="630">
      <c r="B630" s="46"/>
    </row>
    <row r="631">
      <c r="B631" s="46"/>
    </row>
    <row r="632">
      <c r="B632" s="46"/>
    </row>
    <row r="633">
      <c r="B633" s="46"/>
    </row>
    <row r="634">
      <c r="B634" s="46"/>
    </row>
    <row r="635">
      <c r="B635" s="46"/>
    </row>
    <row r="636">
      <c r="B636" s="46"/>
    </row>
    <row r="637">
      <c r="B637" s="46"/>
    </row>
    <row r="638">
      <c r="B638" s="46"/>
    </row>
    <row r="639">
      <c r="B639" s="46"/>
    </row>
    <row r="640">
      <c r="B640" s="46"/>
    </row>
    <row r="641">
      <c r="B641" s="46"/>
    </row>
    <row r="642">
      <c r="B642" s="46"/>
    </row>
    <row r="643">
      <c r="B643" s="46"/>
    </row>
    <row r="644">
      <c r="B644" s="46"/>
    </row>
    <row r="645">
      <c r="B645" s="46"/>
    </row>
    <row r="646">
      <c r="B646" s="46"/>
    </row>
    <row r="647">
      <c r="B647" s="46"/>
    </row>
    <row r="648">
      <c r="B648" s="46"/>
    </row>
    <row r="649">
      <c r="B649" s="46"/>
    </row>
    <row r="650">
      <c r="B650" s="46"/>
    </row>
    <row r="651">
      <c r="B651" s="46"/>
    </row>
    <row r="652">
      <c r="B652" s="46"/>
    </row>
    <row r="653">
      <c r="B653" s="46"/>
    </row>
    <row r="654">
      <c r="B654" s="46"/>
    </row>
    <row r="655">
      <c r="B655" s="46"/>
    </row>
    <row r="656">
      <c r="B656" s="46"/>
    </row>
    <row r="657">
      <c r="B657" s="46"/>
    </row>
    <row r="658">
      <c r="B658" s="46"/>
    </row>
    <row r="659">
      <c r="B659" s="46"/>
    </row>
    <row r="660">
      <c r="B660" s="46"/>
    </row>
    <row r="661">
      <c r="B661" s="46"/>
    </row>
    <row r="662">
      <c r="B662" s="46"/>
    </row>
    <row r="663">
      <c r="B663" s="46"/>
    </row>
    <row r="664">
      <c r="B664" s="46"/>
    </row>
    <row r="665">
      <c r="B665" s="46"/>
    </row>
    <row r="666">
      <c r="B666" s="46"/>
    </row>
    <row r="667">
      <c r="B667" s="46"/>
    </row>
    <row r="668">
      <c r="B668" s="46"/>
    </row>
    <row r="669">
      <c r="B669" s="46"/>
    </row>
    <row r="670">
      <c r="B670" s="46"/>
    </row>
    <row r="671">
      <c r="B671" s="46"/>
    </row>
    <row r="672">
      <c r="B672" s="46"/>
    </row>
    <row r="673">
      <c r="B673" s="46"/>
    </row>
    <row r="674">
      <c r="B674" s="46"/>
    </row>
    <row r="675">
      <c r="B675" s="46"/>
    </row>
    <row r="676">
      <c r="B676" s="46"/>
    </row>
    <row r="677">
      <c r="B677" s="46"/>
    </row>
    <row r="678">
      <c r="B678" s="46"/>
    </row>
    <row r="679">
      <c r="B679" s="46"/>
    </row>
    <row r="680">
      <c r="B680" s="46"/>
    </row>
    <row r="681">
      <c r="B681" s="46"/>
    </row>
    <row r="682">
      <c r="B682" s="46"/>
    </row>
    <row r="683">
      <c r="B683" s="46"/>
    </row>
    <row r="684">
      <c r="B684" s="46"/>
    </row>
    <row r="685">
      <c r="B685" s="46"/>
    </row>
    <row r="686">
      <c r="B686" s="46"/>
    </row>
    <row r="687">
      <c r="B687" s="46"/>
    </row>
    <row r="688">
      <c r="B688" s="46"/>
    </row>
    <row r="689">
      <c r="B689" s="46"/>
    </row>
    <row r="690">
      <c r="B690" s="46"/>
    </row>
    <row r="691">
      <c r="B691" s="46"/>
    </row>
    <row r="692">
      <c r="B692" s="46"/>
    </row>
    <row r="693">
      <c r="B693" s="46"/>
    </row>
    <row r="694">
      <c r="B694" s="46"/>
    </row>
    <row r="695">
      <c r="B695" s="46"/>
    </row>
    <row r="696">
      <c r="B696" s="46"/>
    </row>
    <row r="697">
      <c r="B697" s="46"/>
    </row>
    <row r="698">
      <c r="B698" s="46"/>
    </row>
    <row r="699">
      <c r="B699" s="46"/>
    </row>
    <row r="700">
      <c r="B700" s="46"/>
    </row>
    <row r="701">
      <c r="B701" s="46"/>
    </row>
    <row r="702">
      <c r="B702" s="46"/>
    </row>
    <row r="703">
      <c r="B703" s="46"/>
    </row>
    <row r="704">
      <c r="B704" s="46"/>
    </row>
    <row r="705">
      <c r="B705" s="46"/>
    </row>
    <row r="706">
      <c r="B706" s="46"/>
    </row>
    <row r="707">
      <c r="B707" s="46"/>
    </row>
    <row r="708">
      <c r="B708" s="46"/>
    </row>
    <row r="709">
      <c r="B709" s="46"/>
    </row>
    <row r="710">
      <c r="B710" s="46"/>
    </row>
    <row r="711">
      <c r="B711" s="46"/>
    </row>
    <row r="712">
      <c r="B712" s="46"/>
    </row>
    <row r="713">
      <c r="B713" s="46"/>
    </row>
    <row r="714">
      <c r="B714" s="46"/>
    </row>
    <row r="715">
      <c r="B715" s="46"/>
    </row>
    <row r="716">
      <c r="B716" s="46"/>
    </row>
    <row r="717">
      <c r="B717" s="46"/>
    </row>
    <row r="718">
      <c r="B718" s="46"/>
    </row>
    <row r="719">
      <c r="B719" s="46"/>
    </row>
    <row r="720">
      <c r="B720" s="46"/>
    </row>
    <row r="721">
      <c r="B721" s="46"/>
    </row>
    <row r="722">
      <c r="B722" s="46"/>
    </row>
    <row r="723">
      <c r="B723" s="46"/>
    </row>
    <row r="724">
      <c r="B724" s="46"/>
    </row>
    <row r="725">
      <c r="B725" s="46"/>
    </row>
    <row r="726">
      <c r="B726" s="46"/>
    </row>
    <row r="727">
      <c r="B727" s="46"/>
    </row>
    <row r="728">
      <c r="B728" s="46"/>
    </row>
    <row r="729">
      <c r="B729" s="46"/>
    </row>
    <row r="730">
      <c r="B730" s="46"/>
    </row>
    <row r="731">
      <c r="B731" s="46"/>
    </row>
    <row r="732">
      <c r="B732" s="46"/>
    </row>
    <row r="733">
      <c r="B733" s="46"/>
    </row>
    <row r="734">
      <c r="B734" s="46"/>
    </row>
    <row r="735">
      <c r="B735" s="46"/>
    </row>
    <row r="736">
      <c r="B736" s="46"/>
    </row>
    <row r="737">
      <c r="B737" s="46"/>
    </row>
    <row r="738">
      <c r="B738" s="46"/>
    </row>
    <row r="739">
      <c r="B739" s="46"/>
    </row>
    <row r="740">
      <c r="B740" s="46"/>
    </row>
    <row r="741">
      <c r="B741" s="46"/>
    </row>
    <row r="742">
      <c r="B742" s="46"/>
    </row>
    <row r="743">
      <c r="B743" s="46"/>
    </row>
    <row r="744">
      <c r="B744" s="46"/>
    </row>
    <row r="745">
      <c r="B745" s="46"/>
    </row>
    <row r="746">
      <c r="B746" s="46"/>
    </row>
    <row r="747">
      <c r="B747" s="46"/>
    </row>
    <row r="748">
      <c r="B748" s="46"/>
    </row>
    <row r="749">
      <c r="B749" s="46"/>
    </row>
    <row r="750">
      <c r="B750" s="46"/>
    </row>
    <row r="751">
      <c r="B751" s="46"/>
    </row>
    <row r="752">
      <c r="B752" s="46"/>
    </row>
    <row r="753">
      <c r="B753" s="46"/>
    </row>
    <row r="754">
      <c r="B754" s="46"/>
    </row>
    <row r="755">
      <c r="B755" s="46"/>
    </row>
    <row r="756">
      <c r="B756" s="46"/>
    </row>
    <row r="757">
      <c r="B757" s="46"/>
    </row>
    <row r="758">
      <c r="B758" s="46"/>
    </row>
    <row r="759">
      <c r="B759" s="46"/>
    </row>
    <row r="760">
      <c r="B760" s="46"/>
    </row>
    <row r="761">
      <c r="B761" s="46"/>
    </row>
    <row r="762">
      <c r="B762" s="46"/>
    </row>
    <row r="763">
      <c r="B763" s="46"/>
    </row>
    <row r="764">
      <c r="B764" s="46"/>
    </row>
    <row r="765">
      <c r="B765" s="46"/>
    </row>
    <row r="766">
      <c r="B766" s="46"/>
    </row>
    <row r="767">
      <c r="B767" s="46"/>
    </row>
    <row r="768">
      <c r="B768" s="46"/>
    </row>
    <row r="769">
      <c r="B769" s="46"/>
    </row>
    <row r="770">
      <c r="B770" s="46"/>
    </row>
    <row r="771">
      <c r="B771" s="46"/>
    </row>
    <row r="772">
      <c r="B772" s="46"/>
    </row>
    <row r="773">
      <c r="B773" s="46"/>
    </row>
    <row r="774">
      <c r="B774" s="46"/>
    </row>
    <row r="775">
      <c r="B775" s="46"/>
    </row>
    <row r="776">
      <c r="B776" s="46"/>
    </row>
    <row r="777">
      <c r="B777" s="46"/>
    </row>
    <row r="778">
      <c r="B778" s="46"/>
    </row>
    <row r="779">
      <c r="B779" s="46"/>
    </row>
    <row r="780">
      <c r="B780" s="46"/>
    </row>
    <row r="781">
      <c r="B781" s="46"/>
    </row>
    <row r="782">
      <c r="B782" s="46"/>
    </row>
    <row r="783">
      <c r="B783" s="46"/>
    </row>
    <row r="784">
      <c r="B784" s="46"/>
    </row>
    <row r="785">
      <c r="B785" s="46"/>
    </row>
    <row r="786">
      <c r="B786" s="46"/>
    </row>
    <row r="787">
      <c r="B787" s="46"/>
    </row>
    <row r="788">
      <c r="B788" s="46"/>
    </row>
    <row r="789">
      <c r="B789" s="46"/>
    </row>
    <row r="790">
      <c r="B790" s="46"/>
    </row>
    <row r="791">
      <c r="B791" s="46"/>
    </row>
    <row r="792">
      <c r="B792" s="46"/>
    </row>
    <row r="793">
      <c r="B793" s="46"/>
    </row>
    <row r="794">
      <c r="B794" s="46"/>
    </row>
    <row r="795">
      <c r="B795" s="46"/>
    </row>
    <row r="796">
      <c r="B796" s="46"/>
    </row>
    <row r="797">
      <c r="B797" s="46"/>
    </row>
    <row r="798">
      <c r="B798" s="46"/>
    </row>
    <row r="799">
      <c r="B799" s="46"/>
    </row>
    <row r="800">
      <c r="B800" s="46"/>
    </row>
    <row r="801">
      <c r="B801" s="46"/>
    </row>
    <row r="802">
      <c r="B802" s="46"/>
    </row>
    <row r="803">
      <c r="B803" s="46"/>
    </row>
    <row r="804">
      <c r="B804" s="46"/>
    </row>
    <row r="805">
      <c r="B805" s="46"/>
    </row>
    <row r="806">
      <c r="B806" s="46"/>
    </row>
    <row r="807">
      <c r="B807" s="46"/>
    </row>
    <row r="808">
      <c r="B808" s="46"/>
    </row>
    <row r="809">
      <c r="B809" s="46"/>
    </row>
    <row r="810">
      <c r="B810" s="46"/>
    </row>
    <row r="811">
      <c r="B811" s="46"/>
    </row>
    <row r="812">
      <c r="B812" s="46"/>
    </row>
    <row r="813">
      <c r="B813" s="46"/>
    </row>
    <row r="814">
      <c r="B814" s="46"/>
    </row>
    <row r="815">
      <c r="B815" s="46"/>
    </row>
    <row r="816">
      <c r="B816" s="46"/>
    </row>
    <row r="817">
      <c r="B817" s="46"/>
    </row>
    <row r="818">
      <c r="B818" s="46"/>
    </row>
    <row r="819">
      <c r="B819" s="46"/>
    </row>
    <row r="820">
      <c r="B820" s="46"/>
    </row>
    <row r="821">
      <c r="B821" s="46"/>
    </row>
    <row r="822">
      <c r="B822" s="46"/>
    </row>
    <row r="823">
      <c r="B823" s="46"/>
    </row>
    <row r="824">
      <c r="B824" s="46"/>
    </row>
    <row r="825">
      <c r="B825" s="46"/>
    </row>
    <row r="826">
      <c r="B826" s="46"/>
    </row>
    <row r="827">
      <c r="B827" s="46"/>
    </row>
    <row r="828">
      <c r="B828" s="46"/>
    </row>
    <row r="829">
      <c r="B829" s="46"/>
    </row>
    <row r="830">
      <c r="B830" s="46"/>
    </row>
    <row r="831">
      <c r="B831" s="46"/>
    </row>
    <row r="832">
      <c r="B832" s="46"/>
    </row>
    <row r="833">
      <c r="B833" s="46"/>
    </row>
    <row r="834">
      <c r="B834" s="46"/>
    </row>
    <row r="835">
      <c r="B835" s="46"/>
    </row>
    <row r="836">
      <c r="B836" s="46"/>
    </row>
    <row r="837">
      <c r="B837" s="46"/>
    </row>
    <row r="838">
      <c r="B838" s="46"/>
    </row>
    <row r="839">
      <c r="B839" s="46"/>
    </row>
    <row r="840">
      <c r="B840" s="46"/>
    </row>
    <row r="841">
      <c r="B841" s="46"/>
    </row>
    <row r="842">
      <c r="B842" s="46"/>
    </row>
    <row r="843">
      <c r="B843" s="46"/>
    </row>
    <row r="844">
      <c r="B844" s="46"/>
    </row>
    <row r="845">
      <c r="B845" s="46"/>
    </row>
    <row r="846">
      <c r="B846" s="46"/>
    </row>
    <row r="847">
      <c r="B847" s="46"/>
    </row>
    <row r="848">
      <c r="B848" s="46"/>
    </row>
    <row r="849">
      <c r="B849" s="46"/>
    </row>
    <row r="850">
      <c r="B850" s="46"/>
    </row>
    <row r="851">
      <c r="B851" s="46"/>
    </row>
    <row r="852">
      <c r="B852" s="46"/>
    </row>
    <row r="853">
      <c r="B853" s="46"/>
    </row>
    <row r="854">
      <c r="B854" s="46"/>
    </row>
    <row r="855">
      <c r="B855" s="46"/>
    </row>
    <row r="856">
      <c r="B856" s="46"/>
    </row>
    <row r="857">
      <c r="B857" s="46"/>
    </row>
    <row r="858">
      <c r="B858" s="46"/>
    </row>
    <row r="859">
      <c r="B859" s="46"/>
    </row>
    <row r="860">
      <c r="B860" s="46"/>
    </row>
    <row r="861">
      <c r="B861" s="46"/>
    </row>
    <row r="862">
      <c r="B862" s="46"/>
    </row>
    <row r="863">
      <c r="B863" s="46"/>
    </row>
    <row r="864">
      <c r="B864" s="46"/>
    </row>
    <row r="865">
      <c r="B865" s="46"/>
    </row>
    <row r="866">
      <c r="B866" s="46"/>
    </row>
    <row r="867">
      <c r="B867" s="46"/>
    </row>
    <row r="868">
      <c r="B868" s="46"/>
    </row>
    <row r="869">
      <c r="B869" s="46"/>
    </row>
    <row r="870">
      <c r="B870" s="46"/>
    </row>
    <row r="871">
      <c r="B871" s="46"/>
    </row>
    <row r="872">
      <c r="B872" s="46"/>
    </row>
    <row r="873">
      <c r="B873" s="46"/>
    </row>
    <row r="874">
      <c r="B874" s="46"/>
    </row>
    <row r="875">
      <c r="B875" s="46"/>
    </row>
    <row r="876">
      <c r="B876" s="46"/>
    </row>
    <row r="877">
      <c r="B877" s="46"/>
    </row>
    <row r="878">
      <c r="B878" s="46"/>
    </row>
    <row r="879">
      <c r="B879" s="46"/>
    </row>
    <row r="880">
      <c r="B880" s="46"/>
    </row>
    <row r="881">
      <c r="B881" s="46"/>
    </row>
    <row r="882">
      <c r="B882" s="46"/>
    </row>
    <row r="883">
      <c r="B883" s="46"/>
    </row>
    <row r="884">
      <c r="B884" s="46"/>
    </row>
    <row r="885">
      <c r="B885" s="46"/>
    </row>
    <row r="886">
      <c r="B886" s="46"/>
    </row>
    <row r="887">
      <c r="B887" s="46"/>
    </row>
    <row r="888">
      <c r="B888" s="46"/>
    </row>
    <row r="889">
      <c r="B889" s="46"/>
    </row>
    <row r="890">
      <c r="B890" s="46"/>
    </row>
    <row r="891">
      <c r="B891" s="46"/>
    </row>
    <row r="892">
      <c r="B892" s="46"/>
    </row>
    <row r="893">
      <c r="B893" s="46"/>
    </row>
    <row r="894">
      <c r="B894" s="46"/>
    </row>
    <row r="895">
      <c r="B895" s="46"/>
    </row>
    <row r="896">
      <c r="B896" s="46"/>
    </row>
    <row r="897">
      <c r="B897" s="46"/>
    </row>
    <row r="898">
      <c r="B898" s="46"/>
    </row>
    <row r="899">
      <c r="B899" s="46"/>
    </row>
    <row r="900">
      <c r="B900" s="46"/>
    </row>
    <row r="901">
      <c r="B901" s="46"/>
    </row>
    <row r="902">
      <c r="B902" s="46"/>
    </row>
    <row r="903">
      <c r="B903" s="46"/>
    </row>
    <row r="904">
      <c r="B904" s="46"/>
    </row>
    <row r="905">
      <c r="B905" s="46"/>
    </row>
    <row r="906">
      <c r="B906" s="46"/>
    </row>
    <row r="907">
      <c r="B907" s="46"/>
    </row>
    <row r="908">
      <c r="B908" s="46"/>
    </row>
    <row r="909">
      <c r="B909" s="46"/>
    </row>
    <row r="910">
      <c r="B910" s="46"/>
    </row>
    <row r="911">
      <c r="B911" s="46"/>
    </row>
    <row r="912">
      <c r="B912" s="46"/>
    </row>
    <row r="913">
      <c r="B913" s="46"/>
    </row>
    <row r="914">
      <c r="B914" s="46"/>
    </row>
    <row r="915">
      <c r="B915" s="46"/>
    </row>
    <row r="916">
      <c r="B916" s="46"/>
    </row>
    <row r="917">
      <c r="B917" s="46"/>
    </row>
    <row r="918">
      <c r="B918" s="46"/>
    </row>
    <row r="919">
      <c r="B919" s="46"/>
    </row>
    <row r="920">
      <c r="B920" s="46"/>
    </row>
    <row r="921">
      <c r="B921" s="46"/>
    </row>
    <row r="922">
      <c r="B922" s="46"/>
    </row>
    <row r="923">
      <c r="B923" s="46"/>
    </row>
    <row r="924">
      <c r="B924" s="46"/>
    </row>
    <row r="925">
      <c r="B925" s="46"/>
    </row>
    <row r="926">
      <c r="B926" s="46"/>
    </row>
    <row r="927">
      <c r="B927" s="46"/>
    </row>
    <row r="928">
      <c r="B928" s="46"/>
    </row>
    <row r="929">
      <c r="B929" s="46"/>
    </row>
    <row r="930">
      <c r="B930" s="46"/>
    </row>
    <row r="931">
      <c r="B931" s="46"/>
    </row>
    <row r="932">
      <c r="B932" s="46"/>
    </row>
    <row r="933">
      <c r="B933" s="46"/>
    </row>
    <row r="934">
      <c r="B934" s="46"/>
    </row>
    <row r="935">
      <c r="B935" s="46"/>
    </row>
    <row r="936">
      <c r="B936" s="46"/>
    </row>
    <row r="937">
      <c r="B937" s="46"/>
    </row>
    <row r="938">
      <c r="B938" s="46"/>
    </row>
    <row r="939">
      <c r="B939" s="46"/>
    </row>
    <row r="940">
      <c r="B940" s="46"/>
    </row>
    <row r="941">
      <c r="B941" s="46"/>
    </row>
    <row r="942">
      <c r="B942" s="46"/>
    </row>
    <row r="943">
      <c r="B943" s="46"/>
    </row>
    <row r="944">
      <c r="B944" s="46"/>
    </row>
    <row r="945">
      <c r="B945" s="46"/>
    </row>
    <row r="946">
      <c r="B946" s="46"/>
    </row>
    <row r="947">
      <c r="B947" s="46"/>
    </row>
    <row r="948">
      <c r="B948" s="46"/>
    </row>
    <row r="949">
      <c r="B949" s="46"/>
    </row>
    <row r="950">
      <c r="B950" s="46"/>
    </row>
    <row r="951">
      <c r="B951" s="46"/>
    </row>
    <row r="952">
      <c r="B952" s="46"/>
    </row>
    <row r="953">
      <c r="B953" s="46"/>
    </row>
    <row r="954">
      <c r="B954" s="46"/>
    </row>
    <row r="955">
      <c r="B955" s="46"/>
    </row>
    <row r="956">
      <c r="B956" s="46"/>
    </row>
    <row r="957">
      <c r="B957" s="46"/>
    </row>
    <row r="958">
      <c r="B958" s="46"/>
    </row>
    <row r="959">
      <c r="B959" s="46"/>
    </row>
    <row r="960">
      <c r="B960" s="46"/>
    </row>
    <row r="961">
      <c r="B961" s="46"/>
    </row>
    <row r="962">
      <c r="B962" s="46"/>
    </row>
    <row r="963">
      <c r="B963" s="46"/>
    </row>
    <row r="964">
      <c r="B964" s="46"/>
    </row>
    <row r="965">
      <c r="B965" s="46"/>
    </row>
    <row r="966">
      <c r="B966" s="46"/>
    </row>
    <row r="967">
      <c r="B967" s="46"/>
    </row>
    <row r="968">
      <c r="B968" s="46"/>
    </row>
    <row r="969">
      <c r="B969" s="46"/>
    </row>
    <row r="970">
      <c r="B970" s="46"/>
    </row>
    <row r="971">
      <c r="B971" s="46"/>
    </row>
    <row r="972">
      <c r="B972" s="46"/>
    </row>
    <row r="973">
      <c r="B973" s="46"/>
    </row>
    <row r="974">
      <c r="B974" s="46"/>
    </row>
    <row r="975">
      <c r="B975" s="46"/>
    </row>
    <row r="976">
      <c r="B976" s="46"/>
    </row>
    <row r="977">
      <c r="B977" s="46"/>
    </row>
    <row r="978">
      <c r="B978" s="46"/>
    </row>
    <row r="979">
      <c r="B979" s="46"/>
    </row>
    <row r="980">
      <c r="B980" s="46"/>
    </row>
    <row r="981">
      <c r="B981" s="46"/>
    </row>
    <row r="982">
      <c r="B982" s="46"/>
    </row>
    <row r="983">
      <c r="B983" s="46"/>
    </row>
    <row r="984">
      <c r="B984" s="46"/>
    </row>
    <row r="985">
      <c r="B985" s="46"/>
    </row>
    <row r="986">
      <c r="B986" s="46"/>
    </row>
    <row r="987">
      <c r="B987" s="46"/>
    </row>
    <row r="988">
      <c r="B988" s="46"/>
    </row>
    <row r="989">
      <c r="B989" s="46"/>
    </row>
    <row r="990">
      <c r="B990" s="46"/>
    </row>
    <row r="991">
      <c r="B991" s="46"/>
    </row>
    <row r="992">
      <c r="B992" s="46"/>
    </row>
    <row r="993">
      <c r="B993" s="46"/>
    </row>
    <row r="994">
      <c r="B994" s="46"/>
    </row>
    <row r="995">
      <c r="B995" s="46"/>
    </row>
    <row r="996">
      <c r="B996" s="46"/>
    </row>
    <row r="997">
      <c r="B997" s="46"/>
    </row>
    <row r="998">
      <c r="B998" s="46"/>
    </row>
    <row r="999">
      <c r="B999" s="46"/>
    </row>
    <row r="1000">
      <c r="B1000" s="46"/>
    </row>
    <row r="1001">
      <c r="B1001" s="46"/>
    </row>
    <row r="1002">
      <c r="B1002" s="4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425</v>
      </c>
      <c r="B1" s="38" t="s">
        <v>131</v>
      </c>
    </row>
    <row r="2">
      <c r="A2" s="38" t="s">
        <v>426</v>
      </c>
      <c r="B2" s="38" t="s">
        <v>140</v>
      </c>
    </row>
    <row r="3">
      <c r="A3" s="38" t="s">
        <v>427</v>
      </c>
      <c r="B3" s="38" t="s">
        <v>143</v>
      </c>
    </row>
    <row r="4">
      <c r="A4" s="38" t="s">
        <v>428</v>
      </c>
      <c r="B4" s="38" t="s">
        <v>142</v>
      </c>
    </row>
    <row r="5">
      <c r="A5" s="38" t="s">
        <v>429</v>
      </c>
      <c r="B5" s="38" t="s">
        <v>148</v>
      </c>
    </row>
    <row r="6">
      <c r="A6" s="38" t="s">
        <v>430</v>
      </c>
      <c r="B6" s="38" t="s">
        <v>238</v>
      </c>
    </row>
    <row r="7">
      <c r="A7" s="38" t="s">
        <v>431</v>
      </c>
      <c r="B7" s="38" t="s">
        <v>163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432</v>
      </c>
      <c r="B1" s="38" t="s">
        <v>134</v>
      </c>
    </row>
    <row r="2">
      <c r="A2" s="38" t="s">
        <v>40</v>
      </c>
      <c r="B2" s="109">
        <v>1300.0</v>
      </c>
    </row>
    <row r="3">
      <c r="A3" s="38" t="s">
        <v>45</v>
      </c>
      <c r="B3" s="109">
        <v>2200.0</v>
      </c>
    </row>
    <row r="4">
      <c r="A4" s="38" t="s">
        <v>50</v>
      </c>
      <c r="B4" s="109">
        <v>2600.0</v>
      </c>
    </row>
    <row r="5">
      <c r="A5" s="38" t="s">
        <v>55</v>
      </c>
      <c r="B5" s="109">
        <v>3000.0</v>
      </c>
    </row>
    <row r="6">
      <c r="A6" s="38" t="s">
        <v>60</v>
      </c>
      <c r="B6" s="109">
        <v>3750.0</v>
      </c>
    </row>
    <row r="7">
      <c r="A7" s="38" t="s">
        <v>65</v>
      </c>
      <c r="B7" s="109">
        <v>4500.0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433</v>
      </c>
      <c r="B1" s="38" t="s">
        <v>134</v>
      </c>
    </row>
    <row r="2">
      <c r="A2" s="38" t="s">
        <v>38</v>
      </c>
      <c r="B2" s="109">
        <v>600.0</v>
      </c>
    </row>
    <row r="3">
      <c r="A3" s="38" t="s">
        <v>43</v>
      </c>
      <c r="B3" s="109">
        <v>600.0</v>
      </c>
    </row>
    <row r="4">
      <c r="A4" s="38" t="s">
        <v>48</v>
      </c>
      <c r="B4" s="109">
        <v>650.0</v>
      </c>
    </row>
    <row r="5">
      <c r="A5" s="38" t="s">
        <v>53</v>
      </c>
      <c r="B5" s="109">
        <v>650.0</v>
      </c>
    </row>
    <row r="6">
      <c r="A6" s="38" t="s">
        <v>58</v>
      </c>
      <c r="B6" s="109">
        <v>650.0</v>
      </c>
    </row>
    <row r="7">
      <c r="A7" s="38" t="s">
        <v>63</v>
      </c>
      <c r="B7" s="109">
        <v>800.0</v>
      </c>
    </row>
    <row r="8">
      <c r="A8" s="38" t="s">
        <v>68</v>
      </c>
      <c r="B8" s="109">
        <v>800.0</v>
      </c>
    </row>
    <row r="9">
      <c r="A9" s="38" t="s">
        <v>72</v>
      </c>
      <c r="B9" s="109">
        <v>800.0</v>
      </c>
    </row>
    <row r="10">
      <c r="A10" s="38" t="s">
        <v>75</v>
      </c>
      <c r="B10" s="109">
        <v>800.0</v>
      </c>
    </row>
    <row r="11">
      <c r="A11" s="38" t="s">
        <v>78</v>
      </c>
      <c r="B11" s="109">
        <v>1000.0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434</v>
      </c>
      <c r="B1" s="38" t="s">
        <v>134</v>
      </c>
    </row>
    <row r="2">
      <c r="A2" s="38" t="s">
        <v>39</v>
      </c>
      <c r="B2" s="109">
        <v>2800.0</v>
      </c>
    </row>
    <row r="3">
      <c r="A3" s="38" t="s">
        <v>44</v>
      </c>
      <c r="B3" s="109">
        <v>3300.0</v>
      </c>
    </row>
    <row r="4">
      <c r="A4" s="38" t="s">
        <v>49</v>
      </c>
      <c r="B4" s="109">
        <v>3600.0</v>
      </c>
    </row>
    <row r="5">
      <c r="A5" s="38" t="s">
        <v>54</v>
      </c>
      <c r="B5" s="109">
        <v>4000.0</v>
      </c>
    </row>
    <row r="6">
      <c r="A6" s="38" t="s">
        <v>59</v>
      </c>
      <c r="B6" s="109">
        <v>4700.0</v>
      </c>
    </row>
    <row r="7">
      <c r="A7" s="38" t="s">
        <v>64</v>
      </c>
      <c r="B7" s="109">
        <v>5500.0</v>
      </c>
    </row>
    <row r="8">
      <c r="A8" s="38" t="s">
        <v>69</v>
      </c>
      <c r="B8" s="109">
        <v>6000.0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435</v>
      </c>
      <c r="B1" s="38" t="s">
        <v>134</v>
      </c>
    </row>
    <row r="2">
      <c r="A2" s="38" t="s">
        <v>417</v>
      </c>
      <c r="B2" s="109">
        <v>3000.0</v>
      </c>
    </row>
    <row r="3">
      <c r="A3" s="38" t="s">
        <v>153</v>
      </c>
      <c r="B3" s="109">
        <v>4000.0</v>
      </c>
    </row>
    <row r="4">
      <c r="A4" s="38" t="s">
        <v>149</v>
      </c>
      <c r="B4" s="109">
        <v>5000.0</v>
      </c>
    </row>
    <row r="5">
      <c r="A5" s="38" t="s">
        <v>150</v>
      </c>
      <c r="B5" s="109">
        <v>7000.0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432</v>
      </c>
      <c r="B1" s="38" t="s">
        <v>134</v>
      </c>
    </row>
    <row r="2">
      <c r="A2" s="38">
        <v>1.0</v>
      </c>
      <c r="B2" s="109">
        <v>800.0</v>
      </c>
    </row>
    <row r="3">
      <c r="A3" s="38">
        <v>2.0</v>
      </c>
      <c r="B3" s="109">
        <v>1600.0</v>
      </c>
    </row>
    <row r="4">
      <c r="A4" s="38">
        <v>3.0</v>
      </c>
      <c r="B4" s="109">
        <v>2400.0</v>
      </c>
    </row>
    <row r="5">
      <c r="A5" s="38">
        <v>4.0</v>
      </c>
      <c r="B5" s="109">
        <v>3600.0</v>
      </c>
    </row>
  </sheetData>
  <drawing r:id="rId1"/>
</worksheet>
</file>